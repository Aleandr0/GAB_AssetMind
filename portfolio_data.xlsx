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16e092a6a9e991bb/GAB_App/GAB_AssetMind/"/>
    </mc:Choice>
  </mc:AlternateContent>
  <xr:revisionPtr revIDLastSave="0" documentId="11_410FB6871C68F21614A118BC4FE644C84C9E13A5" xr6:coauthVersionLast="47" xr6:coauthVersionMax="47" xr10:uidLastSave="{00000000-0000-0000-0000-000000000000}"/>
  <bookViews>
    <workbookView xWindow="-13500" yWindow="0" windowWidth="13620" windowHeight="12585" activeTab="1" xr2:uid="{00000000-000D-0000-FFFF-FFFF00000000}"/>
  </bookViews>
  <sheets>
    <sheet name="Sheet" sheetId="1" r:id="rId1"/>
    <sheet name="Dropdowns" sheetId="2" r:id="rId2"/>
    <sheet name="Debug_Timeline" sheetId="3" r:id="rId3"/>
  </sheets>
  <externalReferences>
    <externalReference r:id="rId4"/>
  </externalReferences>
  <definedNames>
    <definedName name="Categorie">[1]Liste!$A$2:$A$7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2" i="1" l="1"/>
  <c r="M112" i="1"/>
  <c r="Q111" i="1"/>
  <c r="M111" i="1"/>
  <c r="Q110" i="1"/>
  <c r="M110" i="1"/>
  <c r="Q109" i="1"/>
  <c r="M109" i="1"/>
  <c r="Q108" i="1"/>
  <c r="M108" i="1"/>
  <c r="Q107" i="1"/>
  <c r="M107" i="1"/>
  <c r="Q106" i="1"/>
  <c r="M106" i="1"/>
  <c r="Q105" i="1"/>
  <c r="M105" i="1"/>
  <c r="Q104" i="1"/>
  <c r="M104" i="1"/>
  <c r="Q103" i="1"/>
  <c r="M103" i="1"/>
  <c r="Q102" i="1"/>
  <c r="M102" i="1"/>
  <c r="Q101" i="1"/>
  <c r="M101" i="1"/>
  <c r="Q100" i="1"/>
  <c r="M100" i="1"/>
  <c r="Q99" i="1"/>
  <c r="M99" i="1"/>
  <c r="Q98" i="1"/>
  <c r="M98" i="1"/>
  <c r="Q97" i="1"/>
  <c r="M97" i="1"/>
  <c r="Q96" i="1"/>
  <c r="M96" i="1"/>
  <c r="Q95" i="1"/>
  <c r="M95" i="1"/>
  <c r="Q94" i="1"/>
  <c r="M94" i="1"/>
  <c r="Q93" i="1"/>
  <c r="M93" i="1"/>
  <c r="Q92" i="1"/>
  <c r="M92" i="1"/>
  <c r="Q91" i="1"/>
  <c r="M91" i="1"/>
  <c r="Q90" i="1"/>
  <c r="M90" i="1"/>
  <c r="Q89" i="1"/>
  <c r="M89" i="1"/>
  <c r="Q88" i="1"/>
  <c r="M88" i="1"/>
  <c r="Q87" i="1"/>
  <c r="M87" i="1"/>
  <c r="Q86" i="1"/>
  <c r="M86" i="1"/>
  <c r="Q85" i="1"/>
  <c r="M85" i="1"/>
  <c r="Q84" i="1"/>
  <c r="M84" i="1"/>
  <c r="Q83" i="1"/>
  <c r="M83" i="1"/>
  <c r="Q82" i="1"/>
  <c r="M82" i="1"/>
  <c r="Q81" i="1"/>
  <c r="M81" i="1"/>
  <c r="Q80" i="1"/>
  <c r="M80" i="1"/>
  <c r="Q79" i="1"/>
  <c r="M79" i="1"/>
  <c r="Q78" i="1"/>
  <c r="M78" i="1"/>
  <c r="Q77" i="1"/>
  <c r="M77" i="1"/>
  <c r="Q76" i="1"/>
  <c r="M76" i="1"/>
  <c r="Q75" i="1"/>
  <c r="M75" i="1"/>
  <c r="Q74" i="1"/>
  <c r="M74" i="1"/>
  <c r="Q73" i="1"/>
  <c r="M73" i="1"/>
  <c r="Q72" i="1"/>
  <c r="M72" i="1"/>
  <c r="Q71" i="1"/>
  <c r="M71" i="1"/>
  <c r="Q70" i="1"/>
  <c r="M70" i="1"/>
  <c r="Q69" i="1"/>
  <c r="M69" i="1"/>
  <c r="Q68" i="1"/>
  <c r="M68" i="1"/>
  <c r="Q67" i="1"/>
  <c r="M67" i="1"/>
  <c r="Q66" i="1"/>
  <c r="M66" i="1"/>
  <c r="Q65" i="1"/>
  <c r="M65" i="1"/>
  <c r="Q64" i="1"/>
  <c r="M64" i="1"/>
  <c r="Q63" i="1"/>
  <c r="M63" i="1"/>
  <c r="Q62" i="1"/>
  <c r="M62" i="1"/>
  <c r="Q61" i="1"/>
  <c r="M61" i="1"/>
  <c r="Q60" i="1"/>
  <c r="M60" i="1"/>
  <c r="Q59" i="1"/>
  <c r="M59" i="1"/>
  <c r="Q58" i="1"/>
  <c r="M58" i="1"/>
  <c r="Q57" i="1"/>
  <c r="M57" i="1"/>
  <c r="Q56" i="1"/>
  <c r="M56" i="1"/>
  <c r="Q55" i="1"/>
  <c r="M55" i="1"/>
  <c r="Q54" i="1"/>
  <c r="M54" i="1"/>
  <c r="Q53" i="1"/>
  <c r="M53" i="1"/>
  <c r="Q52" i="1"/>
  <c r="M52" i="1"/>
  <c r="Q51" i="1"/>
  <c r="M51" i="1"/>
  <c r="Q50" i="1"/>
  <c r="M50" i="1"/>
  <c r="Q49" i="1"/>
  <c r="M49" i="1"/>
  <c r="Q48" i="1"/>
  <c r="M48" i="1"/>
  <c r="Q47" i="1"/>
  <c r="M47" i="1"/>
  <c r="Q46" i="1"/>
  <c r="M46" i="1"/>
  <c r="Q45" i="1"/>
  <c r="M45" i="1"/>
  <c r="Q44" i="1"/>
  <c r="M44" i="1"/>
  <c r="Q43" i="1"/>
  <c r="M43" i="1"/>
  <c r="Q42" i="1"/>
  <c r="M42" i="1"/>
  <c r="Q41" i="1"/>
  <c r="M41" i="1"/>
  <c r="Q40" i="1"/>
  <c r="M40" i="1"/>
  <c r="Q39" i="1"/>
  <c r="M39" i="1"/>
  <c r="Q38" i="1"/>
  <c r="M38" i="1"/>
  <c r="Q37" i="1"/>
  <c r="M37" i="1"/>
  <c r="Q36" i="1"/>
  <c r="M36" i="1"/>
  <c r="Q35" i="1"/>
  <c r="M35" i="1"/>
  <c r="Q34" i="1"/>
  <c r="M34" i="1"/>
  <c r="Q33" i="1"/>
  <c r="M33" i="1"/>
  <c r="Q32" i="1"/>
  <c r="M32" i="1"/>
  <c r="Q31" i="1"/>
  <c r="M31" i="1"/>
  <c r="Q30" i="1"/>
  <c r="M30" i="1"/>
  <c r="Q29" i="1"/>
  <c r="M29" i="1"/>
  <c r="Q28" i="1"/>
  <c r="M28" i="1"/>
  <c r="Q27" i="1"/>
  <c r="M27" i="1"/>
  <c r="Q26" i="1"/>
  <c r="M26" i="1"/>
  <c r="Q25" i="1"/>
  <c r="M25" i="1"/>
  <c r="Q24" i="1"/>
  <c r="M24" i="1"/>
  <c r="Q23" i="1"/>
  <c r="M23" i="1"/>
  <c r="Q22" i="1"/>
  <c r="M22" i="1"/>
  <c r="Q21" i="1"/>
  <c r="M21" i="1"/>
  <c r="Q20" i="1"/>
  <c r="M20" i="1"/>
  <c r="Q19" i="1"/>
  <c r="M19" i="1"/>
  <c r="Q18" i="1"/>
  <c r="M18" i="1"/>
  <c r="Q17" i="1"/>
  <c r="M17" i="1"/>
  <c r="Q16" i="1"/>
  <c r="M16" i="1"/>
  <c r="Q15" i="1"/>
  <c r="M15" i="1"/>
  <c r="Q14" i="1"/>
  <c r="M14" i="1"/>
  <c r="Q13" i="1"/>
  <c r="M13" i="1"/>
  <c r="Q12" i="1"/>
  <c r="M12" i="1"/>
  <c r="Q11" i="1"/>
  <c r="M11" i="1"/>
  <c r="Q10" i="1"/>
  <c r="M10" i="1"/>
  <c r="Q9" i="1"/>
  <c r="M9" i="1"/>
  <c r="Q8" i="1"/>
  <c r="M8" i="1"/>
  <c r="Q7" i="1"/>
  <c r="M7" i="1"/>
  <c r="Q6" i="1"/>
  <c r="M6" i="1"/>
  <c r="Q5" i="1"/>
  <c r="M5" i="1"/>
  <c r="Q4" i="1"/>
  <c r="M4" i="1"/>
  <c r="Q3" i="1"/>
  <c r="M3" i="1"/>
  <c r="Q2" i="1"/>
  <c r="M2" i="1"/>
</calcChain>
</file>

<file path=xl/sharedStrings.xml><?xml version="1.0" encoding="utf-8"?>
<sst xmlns="http://schemas.openxmlformats.org/spreadsheetml/2006/main" count="1399" uniqueCount="244">
  <si>
    <t>id</t>
  </si>
  <si>
    <t>position</t>
  </si>
  <si>
    <t>category</t>
  </si>
  <si>
    <t>type</t>
  </si>
  <si>
    <t>tool</t>
  </si>
  <si>
    <t>asset_name</t>
  </si>
  <si>
    <t>isin</t>
  </si>
  <si>
    <t>ticker</t>
  </si>
  <si>
    <t>risk_level</t>
  </si>
  <si>
    <t>created_at</t>
  </si>
  <si>
    <t>created_amount</t>
  </si>
  <si>
    <t>created_unit_price</t>
  </si>
  <si>
    <t>created_total_value</t>
  </si>
  <si>
    <t>updated_at</t>
  </si>
  <si>
    <t>updated_amount</t>
  </si>
  <si>
    <t>updated_unit_price</t>
  </si>
  <si>
    <t>updated_total_value</t>
  </si>
  <si>
    <t>accumulation_plan</t>
  </si>
  <si>
    <t>accumulation_amount</t>
  </si>
  <si>
    <t>income_per_year</t>
  </si>
  <si>
    <t>rental_income</t>
  </si>
  <si>
    <t>note</t>
  </si>
  <si>
    <t>return_percentage</t>
  </si>
  <si>
    <t>Trade Republic_auto</t>
  </si>
  <si>
    <t>Strumenti Alternativi (Alternatives)</t>
  </si>
  <si>
    <t>Criptovalute</t>
  </si>
  <si>
    <t>Criptovalute Dirette</t>
  </si>
  <si>
    <t>BTC/EUR</t>
  </si>
  <si>
    <t>2025-08-26</t>
  </si>
  <si>
    <t>2025-10-02</t>
  </si>
  <si>
    <t>2025-10-03</t>
  </si>
  <si>
    <t>UPDATED BY AssetMind</t>
  </si>
  <si>
    <t>2025-10-05</t>
  </si>
  <si>
    <t>2025-10-13</t>
  </si>
  <si>
    <t>Fineco_Adv+</t>
  </si>
  <si>
    <t>Azionari (Equity)</t>
  </si>
  <si>
    <t>Azionariato Globale</t>
  </si>
  <si>
    <t>ETF UCITS</t>
  </si>
  <si>
    <t>Amundi MSCI Semiconductors UCITS ETF Acc</t>
  </si>
  <si>
    <t>LU1900066033</t>
  </si>
  <si>
    <t>CHIP</t>
  </si>
  <si>
    <t>2024-11-13</t>
  </si>
  <si>
    <t>PRICE ALERT</t>
  </si>
  <si>
    <t>PRICE ALERT | UPDATED BY AssetMind</t>
  </si>
  <si>
    <t>Azionariato Americano</t>
  </si>
  <si>
    <t>Invesco EQQQ Nasdaq-100 UCITS ETF Acc</t>
  </si>
  <si>
    <t>IE00BFZXGZ54</t>
  </si>
  <si>
    <t>EQAC</t>
  </si>
  <si>
    <t>PRICE ALERT - Aggiornato Manualmente | UPDATED BY AssetMind</t>
  </si>
  <si>
    <t>Vanguard FTSE All-World High Div. Yield UCITS ETF Acc</t>
  </si>
  <si>
    <t>IE00BK5BR626</t>
  </si>
  <si>
    <t>VGWE</t>
  </si>
  <si>
    <t>PRICE ALERT - Aggiornato Manualmente</t>
  </si>
  <si>
    <t>Azionariato Paesi Sviluppati</t>
  </si>
  <si>
    <t>iShares Edge MSCI World Minimum Volatility UCITS ETF USD (Acc)</t>
  </si>
  <si>
    <t>IE00B8FHGS14</t>
  </si>
  <si>
    <t>MVOL.MI</t>
  </si>
  <si>
    <t>2012-11-30</t>
  </si>
  <si>
    <t>Aggiornato Manualmente</t>
  </si>
  <si>
    <t>Aggiornato Manualmente | UPDATED BY AssetMind</t>
  </si>
  <si>
    <t>Fineco_auto</t>
  </si>
  <si>
    <t>Azionariato Europeo</t>
  </si>
  <si>
    <t>Amundi IS MSCI Europe UCITS ETF DR</t>
  </si>
  <si>
    <t>LU1437015735</t>
  </si>
  <si>
    <t>CEU2</t>
  </si>
  <si>
    <t>2025-10-01</t>
  </si>
  <si>
    <t>Autogestito | UPDATED BY AssetMind</t>
  </si>
  <si>
    <t>Obbligazionari (Fixed Income)</t>
  </si>
  <si>
    <t>Obbligazioni Governative Europee</t>
  </si>
  <si>
    <t>ETF Obbligazionario</t>
  </si>
  <si>
    <t>ETF ISHS EUR INF-LKD</t>
  </si>
  <si>
    <t>IE00B0M62X26</t>
  </si>
  <si>
    <t>IBCI.AS</t>
  </si>
  <si>
    <t>FAM ARTIF INTEL CL A</t>
  </si>
  <si>
    <t>IE000QU8JEH5</t>
  </si>
  <si>
    <t>AI4U.MI</t>
  </si>
  <si>
    <t>Obbligazioni Governative Globali</t>
  </si>
  <si>
    <t>ISH CO GLB EUR-AC</t>
  </si>
  <si>
    <t>IE00BDBRDM35</t>
  </si>
  <si>
    <t>AGGH.MI</t>
  </si>
  <si>
    <t>Vanguard S&amp;P 500 UCITS ETF (USD) Dis</t>
  </si>
  <si>
    <t>IE00B3XXRP09</t>
  </si>
  <si>
    <t>VUSA.MI</t>
  </si>
  <si>
    <t>iShares Core MSCI World UCITS ETF USD (Acc)</t>
  </si>
  <si>
    <t>IE00B4L5Y983</t>
  </si>
  <si>
    <t>SWDA.MI</t>
  </si>
  <si>
    <t>Mediobanca_auto</t>
  </si>
  <si>
    <t>IS CR 500 USD-AC EUR</t>
  </si>
  <si>
    <t>IE00B5BMR087</t>
  </si>
  <si>
    <t>SXR8</t>
  </si>
  <si>
    <t>2024-11-14</t>
  </si>
  <si>
    <t>Auto</t>
  </si>
  <si>
    <t>RICE ALERT | UPDATED BY AssetMind</t>
  </si>
  <si>
    <t>Azionariato Paesi Emergenti</t>
  </si>
  <si>
    <t>Core MSCI EM IMI USD (Acc)</t>
  </si>
  <si>
    <t>IE00BKM4GZ66</t>
  </si>
  <si>
    <t>EIMI.MI</t>
  </si>
  <si>
    <t>2014-05-30</t>
  </si>
  <si>
    <t>Core MSCI World USD (Acc)</t>
  </si>
  <si>
    <t>IE000BI8OT95</t>
  </si>
  <si>
    <t>MWRD</t>
  </si>
  <si>
    <t>2025-09-04</t>
  </si>
  <si>
    <t>A0RPWH</t>
  </si>
  <si>
    <t>Core S&amp;P 500 USD (Acc)</t>
  </si>
  <si>
    <t>SXR8.DE</t>
  </si>
  <si>
    <t>2025-05-18</t>
  </si>
  <si>
    <t>TER 0.07% | UPDATED BY AssetMind</t>
  </si>
  <si>
    <t>TER 0.07% | PRICE ALERT</t>
  </si>
  <si>
    <t>TER 0.07% | PRICE ALERT | UPDATED BY AssetMind</t>
  </si>
  <si>
    <t>TER 0.07% |  PRICE ALERT | UPDATED BY AssetMind</t>
  </si>
  <si>
    <t>S&amp;P 500 Information Tech USD (Acc)</t>
  </si>
  <si>
    <t>IE00B3WJKG14</t>
  </si>
  <si>
    <t>QDVE.DE</t>
  </si>
  <si>
    <t>UPDATED BY AssetMind | PRICE ALERT</t>
  </si>
  <si>
    <t>Fondo Azionario</t>
  </si>
  <si>
    <t>BGF World Technology Euro E2</t>
  </si>
  <si>
    <t>LU0171310955</t>
  </si>
  <si>
    <t>MLWTE</t>
  </si>
  <si>
    <t>PIC</t>
  </si>
  <si>
    <t>2019-07-16</t>
  </si>
  <si>
    <t>PIC |</t>
  </si>
  <si>
    <t>PIC | UPDATED BY AssetMind</t>
  </si>
  <si>
    <t>PIC | UPDATED BY AssetMind | PRICE ALERT</t>
  </si>
  <si>
    <t>Mediobanca_cons</t>
  </si>
  <si>
    <t>Fondo Obbligazionario</t>
  </si>
  <si>
    <t>Nordea 1 – European Covered Bond Opportunities Fund BP</t>
  </si>
  <si>
    <t>LU1915690595</t>
  </si>
  <si>
    <t>NDJX</t>
  </si>
  <si>
    <t>Virgilio</t>
  </si>
  <si>
    <t>Virgilio |</t>
  </si>
  <si>
    <t>Virgilio | UPDATED BY AssetMind</t>
  </si>
  <si>
    <t>Obbligazioni High Yield</t>
  </si>
  <si>
    <t>SISF Strategic Credit B Cap EUR Hdg</t>
  </si>
  <si>
    <t>LU1046235815</t>
  </si>
  <si>
    <t>Classe BH</t>
  </si>
  <si>
    <t>Giardini Naxos</t>
  </si>
  <si>
    <t>Immobiliari (Real Estate)</t>
  </si>
  <si>
    <t>Casa Naxos</t>
  </si>
  <si>
    <t>2004-05-21</t>
  </si>
  <si>
    <t>2025-09-03</t>
  </si>
  <si>
    <t>Immobiliare</t>
  </si>
  <si>
    <t>Garage Naxos</t>
  </si>
  <si>
    <t>2006-05-22</t>
  </si>
  <si>
    <t>2025-03-09</t>
  </si>
  <si>
    <t>Via M. D. Orlando 14</t>
  </si>
  <si>
    <t>Orlando G_sx</t>
  </si>
  <si>
    <t>1997-01-17</t>
  </si>
  <si>
    <t>2008-05-22</t>
  </si>
  <si>
    <t>Orlando I_dx</t>
  </si>
  <si>
    <t>1989-01-16</t>
  </si>
  <si>
    <t>1997-12-01</t>
  </si>
  <si>
    <t>Orlando I_sx</t>
  </si>
  <si>
    <t>Via Pablo Picasso 2</t>
  </si>
  <si>
    <t>Picasso_Ale</t>
  </si>
  <si>
    <t>2015-08-04</t>
  </si>
  <si>
    <t>Picasso_GA</t>
  </si>
  <si>
    <t>Picasso_GAB</t>
  </si>
  <si>
    <t>Picasso_Giardino</t>
  </si>
  <si>
    <t>2015-05-27</t>
  </si>
  <si>
    <t>Picasso_RA</t>
  </si>
  <si>
    <t>2015-04-08</t>
  </si>
  <si>
    <t>CREDEM</t>
  </si>
  <si>
    <t>Liquidità</t>
  </si>
  <si>
    <t>$</t>
  </si>
  <si>
    <t>2015-05-22</t>
  </si>
  <si>
    <t>2025-09-08</t>
  </si>
  <si>
    <t>Autogestito</t>
  </si>
  <si>
    <t>Fineco</t>
  </si>
  <si>
    <t>Mediobanca</t>
  </si>
  <si>
    <t>Trade Republic</t>
  </si>
  <si>
    <t>Italiana Assicurazioni</t>
  </si>
  <si>
    <t>Oggetti</t>
  </si>
  <si>
    <t>polizza 41056491</t>
  </si>
  <si>
    <t>2020-02-11</t>
  </si>
  <si>
    <t>2025-07-31</t>
  </si>
  <si>
    <t>polizza 41056492</t>
  </si>
  <si>
    <t>2020-11-02</t>
  </si>
  <si>
    <t>polizza 41056493</t>
  </si>
  <si>
    <t>polizza 41056494</t>
  </si>
  <si>
    <t>polizza 41056495</t>
  </si>
  <si>
    <t>polizza 41056498</t>
  </si>
  <si>
    <t>FAM MegaTrends L EUR Acc</t>
  </si>
  <si>
    <t>IE00BJCX8943</t>
  </si>
  <si>
    <t>2020-04-01</t>
  </si>
  <si>
    <t>2025-05-19</t>
  </si>
  <si>
    <t>Mensile</t>
  </si>
  <si>
    <t>Versamenti periodici</t>
  </si>
  <si>
    <t>Pictet-Global Megatrend Selection-R EUR</t>
  </si>
  <si>
    <t>LU0391944815</t>
  </si>
  <si>
    <t>2018-01-10</t>
  </si>
  <si>
    <t>2025-10-15</t>
  </si>
  <si>
    <t>Obbligazione Diretta</t>
  </si>
  <si>
    <t>BTP SHORT TERM 3,60</t>
  </si>
  <si>
    <t>IT0005557084</t>
  </si>
  <si>
    <t>2025-10-16</t>
  </si>
  <si>
    <t>Categoria</t>
  </si>
  <si>
    <t>Tipo di Investimento</t>
  </si>
  <si>
    <t>Strumento</t>
  </si>
  <si>
    <t>Azione Diretta</t>
  </si>
  <si>
    <t>Certificato d’investimento</t>
  </si>
  <si>
    <t>ETN/ETP su equity</t>
  </si>
  <si>
    <t>Derivati su indici o azioni</t>
  </si>
  <si>
    <t>Obbligazioni Governative a Medio Termine</t>
  </si>
  <si>
    <t>Certificato a reddito</t>
  </si>
  <si>
    <t>ETN/ETP su bond</t>
  </si>
  <si>
    <t>Derivati su tassi o credito</t>
  </si>
  <si>
    <t>Materie Prime (Commodities)</t>
  </si>
  <si>
    <t>Petrolio</t>
  </si>
  <si>
    <t>ETC su commodity</t>
  </si>
  <si>
    <t>ETF commodity</t>
  </si>
  <si>
    <t>Futures su commodity</t>
  </si>
  <si>
    <t>Opzioni su commodity</t>
  </si>
  <si>
    <t>Certificati su commodity</t>
  </si>
  <si>
    <t>Azioni di produttori</t>
  </si>
  <si>
    <t>Crowdfunding Immobiliare</t>
  </si>
  <si>
    <t>REIT (azione quotata)</t>
  </si>
  <si>
    <t>ETF Immobiliare</t>
  </si>
  <si>
    <t>Fondo Immobiliare</t>
  </si>
  <si>
    <t>Immobiliare Diretto</t>
  </si>
  <si>
    <t>Certificato Immobiliare</t>
  </si>
  <si>
    <t>Immobiliare Logistico</t>
  </si>
  <si>
    <t>Immobiliare Residenziale</t>
  </si>
  <si>
    <t>Private Equity</t>
  </si>
  <si>
    <t>Fondo Private Equity/VC</t>
  </si>
  <si>
    <t>Fondo Private Debt</t>
  </si>
  <si>
    <t>Hedge Fund</t>
  </si>
  <si>
    <t>Fondo Infrastrutture</t>
  </si>
  <si>
    <t>ETN/ETF su cripto</t>
  </si>
  <si>
    <t>Private Debt</t>
  </si>
  <si>
    <t>Hedge Funds</t>
  </si>
  <si>
    <t>Infrastrutture</t>
  </si>
  <si>
    <t>ETF Alternativi</t>
  </si>
  <si>
    <t>Liquidità e Strumenti Monetari</t>
  </si>
  <si>
    <t>Conto Corrente</t>
  </si>
  <si>
    <t>Conto Deposito</t>
  </si>
  <si>
    <t>Fondo Monetario UCITS</t>
  </si>
  <si>
    <t>Pronti Contro Termine</t>
  </si>
  <si>
    <t>Buoni del Tesoro a breve</t>
  </si>
  <si>
    <t>ETF Monetario</t>
  </si>
  <si>
    <t>Fondo Monetario</t>
  </si>
  <si>
    <t>Buoni del Tesoro</t>
  </si>
  <si>
    <t>ETF Monetari</t>
  </si>
  <si>
    <t>Data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</si>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</sst>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6CC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Downs"/>
      <sheetName val="Liste"/>
    </sheetNames>
    <sheetDataSet>
      <sheetData sheetId="0" refreshError="1"/>
      <sheetData sheetId="1">
        <row r="2">
          <cell r="A2" t="str">
            <v>Azionari (Equity)</v>
          </cell>
        </row>
        <row r="3">
          <cell r="A3" t="str">
            <v>Obbligazionari (Fixed Income)</v>
          </cell>
        </row>
        <row r="4">
          <cell r="A4" t="str">
            <v>Materie Prime (Commodities)</v>
          </cell>
        </row>
        <row r="5">
          <cell r="A5" t="str">
            <v>Immobiliari (Real Estate)</v>
          </cell>
        </row>
        <row r="6">
          <cell r="A6" t="str">
            <v>Strumenti Alternativi (Alternatives)</v>
          </cell>
        </row>
        <row r="7">
          <cell r="A7" t="str">
            <v>Liquidità e Strumenti Monetari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2"/>
  <sheetViews>
    <sheetView workbookViewId="0"/>
  </sheetViews>
  <sheetFormatPr defaultRowHeight="14.25" x14ac:dyDescent="0.45"/>
  <sheetData>
    <row r="1" spans="1:2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5">
      <c r="A2" s="1">
        <v>1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27</v>
      </c>
      <c r="H2" s="1" t="s">
        <v>27</v>
      </c>
      <c r="I2" s="1">
        <v>1</v>
      </c>
      <c r="J2" s="1" t="s">
        <v>28</v>
      </c>
      <c r="K2" s="1">
        <v>1.0661E-2</v>
      </c>
      <c r="L2" s="1">
        <v>93521</v>
      </c>
      <c r="M2" s="1">
        <f t="shared" ref="M2:M33" si="0">K2*L2</f>
        <v>997.02738099999999</v>
      </c>
      <c r="N2" s="1" t="s">
        <v>29</v>
      </c>
      <c r="O2" s="1">
        <v>1.0661E-2</v>
      </c>
      <c r="P2" s="1">
        <v>100725</v>
      </c>
      <c r="Q2" s="1">
        <f t="shared" ref="Q2:Q33" si="1">O2*P2</f>
        <v>1073.829225</v>
      </c>
      <c r="R2" s="1"/>
      <c r="S2" s="1">
        <v>0</v>
      </c>
      <c r="T2" s="1">
        <v>0</v>
      </c>
      <c r="U2" s="1">
        <v>0</v>
      </c>
      <c r="V2" s="1"/>
      <c r="W2" s="1">
        <v>75.989999999999995</v>
      </c>
    </row>
    <row r="3" spans="1:23" x14ac:dyDescent="0.45">
      <c r="A3" s="1">
        <v>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27</v>
      </c>
      <c r="H3" s="1" t="s">
        <v>27</v>
      </c>
      <c r="I3" s="1">
        <v>1</v>
      </c>
      <c r="J3" s="1" t="s">
        <v>28</v>
      </c>
      <c r="K3" s="1">
        <v>1.0661E-2</v>
      </c>
      <c r="L3" s="1">
        <v>93521</v>
      </c>
      <c r="M3" s="1">
        <f t="shared" si="0"/>
        <v>997.02738099999999</v>
      </c>
      <c r="N3" s="1" t="s">
        <v>30</v>
      </c>
      <c r="O3" s="1">
        <v>1.0661E-2</v>
      </c>
      <c r="P3" s="1">
        <v>104972.82</v>
      </c>
      <c r="Q3" s="1">
        <f t="shared" si="1"/>
        <v>1119.1152340200001</v>
      </c>
      <c r="R3" s="1"/>
      <c r="S3" s="1">
        <v>0</v>
      </c>
      <c r="T3" s="1">
        <v>0</v>
      </c>
      <c r="U3" s="1">
        <v>0</v>
      </c>
      <c r="V3" s="1" t="s">
        <v>31</v>
      </c>
      <c r="W3" s="1">
        <v>117.62</v>
      </c>
    </row>
    <row r="4" spans="1:23" x14ac:dyDescent="0.45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27</v>
      </c>
      <c r="H4" s="1" t="s">
        <v>27</v>
      </c>
      <c r="I4" s="1">
        <v>1</v>
      </c>
      <c r="J4" s="1" t="s">
        <v>28</v>
      </c>
      <c r="K4" s="1">
        <v>1.0661E-2</v>
      </c>
      <c r="L4" s="1">
        <v>93521</v>
      </c>
      <c r="M4" s="1">
        <f t="shared" si="0"/>
        <v>997.02738099999999</v>
      </c>
      <c r="N4" s="1" t="s">
        <v>32</v>
      </c>
      <c r="O4" s="1">
        <v>1.0661E-2</v>
      </c>
      <c r="P4" s="1">
        <v>103749.18</v>
      </c>
      <c r="Q4" s="1">
        <f t="shared" si="1"/>
        <v>1106.0700079799999</v>
      </c>
      <c r="R4" s="1"/>
      <c r="S4" s="1">
        <v>0</v>
      </c>
      <c r="T4" s="1">
        <v>0</v>
      </c>
      <c r="U4" s="1">
        <v>0</v>
      </c>
      <c r="V4" s="1" t="s">
        <v>31</v>
      </c>
      <c r="W4" s="1">
        <v>99.8</v>
      </c>
    </row>
    <row r="5" spans="1:23" x14ac:dyDescent="0.45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27</v>
      </c>
      <c r="H5" t="s">
        <v>27</v>
      </c>
      <c r="I5">
        <v>5</v>
      </c>
      <c r="J5" t="s">
        <v>28</v>
      </c>
      <c r="K5">
        <v>1.0661E-2</v>
      </c>
      <c r="L5">
        <v>93521</v>
      </c>
      <c r="M5">
        <f t="shared" si="0"/>
        <v>997.02738099999999</v>
      </c>
      <c r="N5" t="s">
        <v>33</v>
      </c>
      <c r="O5">
        <v>1.0661E-2</v>
      </c>
      <c r="P5">
        <v>99066.66</v>
      </c>
      <c r="Q5">
        <f t="shared" si="1"/>
        <v>1056.14966226</v>
      </c>
      <c r="S5">
        <v>0</v>
      </c>
      <c r="T5">
        <v>0</v>
      </c>
      <c r="U5">
        <v>0</v>
      </c>
      <c r="V5" t="s">
        <v>31</v>
      </c>
      <c r="W5">
        <v>45.09</v>
      </c>
    </row>
    <row r="6" spans="1:23" x14ac:dyDescent="0.45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>
        <v>3</v>
      </c>
      <c r="J6" s="1" t="s">
        <v>41</v>
      </c>
      <c r="K6" s="1">
        <v>180</v>
      </c>
      <c r="L6" s="1">
        <v>52.79</v>
      </c>
      <c r="M6" s="1">
        <f t="shared" si="0"/>
        <v>9502.2000000000007</v>
      </c>
      <c r="N6" s="1" t="s">
        <v>29</v>
      </c>
      <c r="O6" s="1">
        <v>180</v>
      </c>
      <c r="P6" s="1">
        <v>65.8</v>
      </c>
      <c r="Q6" s="1">
        <f t="shared" si="1"/>
        <v>11844</v>
      </c>
      <c r="R6" s="1"/>
      <c r="S6" s="1">
        <v>0</v>
      </c>
      <c r="T6" s="1">
        <v>0</v>
      </c>
      <c r="U6" s="1">
        <v>0</v>
      </c>
      <c r="V6" s="1"/>
      <c r="W6" s="1">
        <v>27.85</v>
      </c>
    </row>
    <row r="7" spans="1:23" x14ac:dyDescent="0.45">
      <c r="A7" s="1">
        <v>6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>
        <v>3</v>
      </c>
      <c r="J7" s="1" t="s">
        <v>41</v>
      </c>
      <c r="K7" s="1">
        <v>180</v>
      </c>
      <c r="L7" s="1">
        <v>52.79</v>
      </c>
      <c r="M7" s="1">
        <f t="shared" si="0"/>
        <v>9502.2000000000007</v>
      </c>
      <c r="N7" s="1" t="s">
        <v>30</v>
      </c>
      <c r="O7" s="1">
        <v>180</v>
      </c>
      <c r="P7" s="1">
        <v>66.63</v>
      </c>
      <c r="Q7" s="1">
        <f t="shared" si="1"/>
        <v>11993.4</v>
      </c>
      <c r="R7" s="1"/>
      <c r="S7" s="1">
        <v>0</v>
      </c>
      <c r="T7" s="1">
        <v>0</v>
      </c>
      <c r="U7" s="1">
        <v>0</v>
      </c>
      <c r="V7" s="1" t="s">
        <v>42</v>
      </c>
      <c r="W7" s="1">
        <v>29.53</v>
      </c>
    </row>
    <row r="8" spans="1:23" x14ac:dyDescent="0.45">
      <c r="A8" s="1">
        <v>7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  <c r="G8" s="1" t="s">
        <v>39</v>
      </c>
      <c r="H8" s="1" t="s">
        <v>40</v>
      </c>
      <c r="I8" s="1">
        <v>3</v>
      </c>
      <c r="J8" s="1" t="s">
        <v>41</v>
      </c>
      <c r="K8" s="1">
        <v>180</v>
      </c>
      <c r="L8" s="1">
        <v>52.79</v>
      </c>
      <c r="M8" s="1">
        <f t="shared" si="0"/>
        <v>9502.2000000000007</v>
      </c>
      <c r="N8" s="1" t="s">
        <v>32</v>
      </c>
      <c r="O8" s="1">
        <v>180</v>
      </c>
      <c r="P8" s="1">
        <v>66.680000000000007</v>
      </c>
      <c r="Q8" s="1">
        <f t="shared" si="1"/>
        <v>12002.400000000001</v>
      </c>
      <c r="R8" s="1"/>
      <c r="S8" s="1">
        <v>0</v>
      </c>
      <c r="T8" s="1">
        <v>0</v>
      </c>
      <c r="U8" s="1">
        <v>0</v>
      </c>
      <c r="V8" s="1" t="s">
        <v>43</v>
      </c>
      <c r="W8" s="1">
        <v>29.46</v>
      </c>
    </row>
    <row r="9" spans="1:23" x14ac:dyDescent="0.45">
      <c r="A9">
        <v>8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>
        <v>3</v>
      </c>
      <c r="J9" t="s">
        <v>41</v>
      </c>
      <c r="K9">
        <v>180</v>
      </c>
      <c r="L9">
        <v>52.79</v>
      </c>
      <c r="M9">
        <f t="shared" si="0"/>
        <v>9502.2000000000007</v>
      </c>
      <c r="N9" t="s">
        <v>33</v>
      </c>
      <c r="O9">
        <v>180</v>
      </c>
      <c r="P9">
        <v>68.050003000000004</v>
      </c>
      <c r="Q9">
        <f t="shared" si="1"/>
        <v>12249.000540000001</v>
      </c>
      <c r="S9">
        <v>0</v>
      </c>
      <c r="T9">
        <v>0</v>
      </c>
      <c r="U9">
        <v>0</v>
      </c>
      <c r="V9" t="s">
        <v>43</v>
      </c>
      <c r="W9">
        <v>31.59</v>
      </c>
    </row>
    <row r="10" spans="1:23" x14ac:dyDescent="0.45">
      <c r="A10" s="1">
        <v>9</v>
      </c>
      <c r="B10" s="1" t="s">
        <v>34</v>
      </c>
      <c r="C10" s="1" t="s">
        <v>35</v>
      </c>
      <c r="D10" s="1" t="s">
        <v>44</v>
      </c>
      <c r="E10" s="1" t="s">
        <v>37</v>
      </c>
      <c r="F10" s="1" t="s">
        <v>45</v>
      </c>
      <c r="G10" s="1" t="s">
        <v>46</v>
      </c>
      <c r="H10" s="1" t="s">
        <v>47</v>
      </c>
      <c r="I10" s="1">
        <v>3</v>
      </c>
      <c r="J10" s="1" t="s">
        <v>41</v>
      </c>
      <c r="K10" s="1">
        <v>40</v>
      </c>
      <c r="L10" s="1">
        <v>337.94</v>
      </c>
      <c r="M10" s="1">
        <f t="shared" si="0"/>
        <v>13517.6</v>
      </c>
      <c r="N10" s="1" t="s">
        <v>29</v>
      </c>
      <c r="O10" s="1">
        <v>40</v>
      </c>
      <c r="P10" s="1">
        <v>361.95</v>
      </c>
      <c r="Q10" s="1">
        <f t="shared" si="1"/>
        <v>14478</v>
      </c>
      <c r="R10" s="1"/>
      <c r="S10" s="1">
        <v>0</v>
      </c>
      <c r="T10" s="1">
        <v>0</v>
      </c>
      <c r="U10" s="1">
        <v>0</v>
      </c>
      <c r="V10" s="1"/>
      <c r="W10" s="1">
        <v>8.0299999999999994</v>
      </c>
    </row>
    <row r="11" spans="1:23" x14ac:dyDescent="0.45">
      <c r="A11" s="1">
        <v>10</v>
      </c>
      <c r="B11" s="1" t="s">
        <v>34</v>
      </c>
      <c r="C11" s="1" t="s">
        <v>35</v>
      </c>
      <c r="D11" s="1" t="s">
        <v>44</v>
      </c>
      <c r="E11" s="1" t="s">
        <v>37</v>
      </c>
      <c r="F11" s="1" t="s">
        <v>45</v>
      </c>
      <c r="G11" s="1" t="s">
        <v>46</v>
      </c>
      <c r="H11" s="1" t="s">
        <v>47</v>
      </c>
      <c r="I11" s="1">
        <v>3</v>
      </c>
      <c r="J11" s="1" t="s">
        <v>41</v>
      </c>
      <c r="K11" s="1">
        <v>40</v>
      </c>
      <c r="L11" s="1">
        <v>337.94</v>
      </c>
      <c r="M11" s="1">
        <f t="shared" si="0"/>
        <v>13517.6</v>
      </c>
      <c r="N11" s="1" t="s">
        <v>30</v>
      </c>
      <c r="O11" s="1">
        <v>40</v>
      </c>
      <c r="P11" s="1">
        <v>362.54</v>
      </c>
      <c r="Q11" s="1">
        <f t="shared" si="1"/>
        <v>14501.6</v>
      </c>
      <c r="R11" s="1"/>
      <c r="S11" s="1">
        <v>0</v>
      </c>
      <c r="T11" s="1">
        <v>0</v>
      </c>
      <c r="U11" s="1">
        <v>0</v>
      </c>
      <c r="V11" s="1" t="s">
        <v>42</v>
      </c>
      <c r="W11" s="1">
        <v>8.1999999999999993</v>
      </c>
    </row>
    <row r="12" spans="1:23" x14ac:dyDescent="0.45">
      <c r="A12" s="1">
        <v>11</v>
      </c>
      <c r="B12" s="1" t="s">
        <v>34</v>
      </c>
      <c r="C12" s="1" t="s">
        <v>35</v>
      </c>
      <c r="D12" s="1" t="s">
        <v>44</v>
      </c>
      <c r="E12" s="1" t="s">
        <v>37</v>
      </c>
      <c r="F12" s="1" t="s">
        <v>45</v>
      </c>
      <c r="G12" s="1" t="s">
        <v>46</v>
      </c>
      <c r="H12" s="1" t="s">
        <v>47</v>
      </c>
      <c r="I12" s="1">
        <v>3</v>
      </c>
      <c r="J12" s="1" t="s">
        <v>41</v>
      </c>
      <c r="K12" s="1">
        <v>40</v>
      </c>
      <c r="L12" s="1">
        <v>337.94</v>
      </c>
      <c r="M12" s="1">
        <f t="shared" si="0"/>
        <v>13517.6</v>
      </c>
      <c r="N12" s="1" t="s">
        <v>32</v>
      </c>
      <c r="O12" s="1">
        <v>40</v>
      </c>
      <c r="P12" s="1">
        <v>362.540009</v>
      </c>
      <c r="Q12" s="1">
        <f t="shared" si="1"/>
        <v>14501.60036</v>
      </c>
      <c r="R12" s="1"/>
      <c r="S12" s="1">
        <v>0</v>
      </c>
      <c r="T12" s="1">
        <v>0</v>
      </c>
      <c r="U12" s="1">
        <v>0</v>
      </c>
      <c r="V12" s="1" t="s">
        <v>43</v>
      </c>
      <c r="W12" s="1">
        <v>8.15</v>
      </c>
    </row>
    <row r="13" spans="1:23" x14ac:dyDescent="0.45">
      <c r="A13">
        <v>12</v>
      </c>
      <c r="B13" t="s">
        <v>34</v>
      </c>
      <c r="C13" t="s">
        <v>35</v>
      </c>
      <c r="D13" t="s">
        <v>44</v>
      </c>
      <c r="E13" t="s">
        <v>37</v>
      </c>
      <c r="F13" t="s">
        <v>45</v>
      </c>
      <c r="G13" t="s">
        <v>46</v>
      </c>
      <c r="H13" t="s">
        <v>47</v>
      </c>
      <c r="I13">
        <v>3</v>
      </c>
      <c r="J13" t="s">
        <v>41</v>
      </c>
      <c r="K13">
        <v>40</v>
      </c>
      <c r="L13">
        <v>337.94</v>
      </c>
      <c r="M13">
        <f t="shared" si="0"/>
        <v>13517.6</v>
      </c>
      <c r="N13" t="s">
        <v>33</v>
      </c>
      <c r="O13">
        <v>40</v>
      </c>
      <c r="P13">
        <v>363.85998499999999</v>
      </c>
      <c r="Q13">
        <f t="shared" si="1"/>
        <v>14554.3994</v>
      </c>
      <c r="S13">
        <v>0</v>
      </c>
      <c r="T13">
        <v>0</v>
      </c>
      <c r="U13">
        <v>0</v>
      </c>
      <c r="V13" t="s">
        <v>48</v>
      </c>
      <c r="W13">
        <v>8.3800000000000008</v>
      </c>
    </row>
    <row r="14" spans="1:23" x14ac:dyDescent="0.45">
      <c r="A14" s="1">
        <v>13</v>
      </c>
      <c r="B14" s="1" t="s">
        <v>34</v>
      </c>
      <c r="C14" s="1" t="s">
        <v>35</v>
      </c>
      <c r="D14" s="1" t="s">
        <v>36</v>
      </c>
      <c r="E14" s="1" t="s">
        <v>37</v>
      </c>
      <c r="F14" s="1" t="s">
        <v>49</v>
      </c>
      <c r="G14" s="1" t="s">
        <v>50</v>
      </c>
      <c r="H14" s="1" t="s">
        <v>51</v>
      </c>
      <c r="I14" s="1">
        <v>3</v>
      </c>
      <c r="J14" s="1" t="s">
        <v>41</v>
      </c>
      <c r="K14" s="1">
        <v>190</v>
      </c>
      <c r="L14" s="1">
        <v>70.64</v>
      </c>
      <c r="M14" s="1">
        <f t="shared" si="0"/>
        <v>13421.6</v>
      </c>
      <c r="N14" s="1" t="s">
        <v>29</v>
      </c>
      <c r="O14" s="1">
        <v>190</v>
      </c>
      <c r="P14" s="1">
        <v>75.42</v>
      </c>
      <c r="Q14" s="1">
        <f t="shared" si="1"/>
        <v>14329.800000000001</v>
      </c>
      <c r="R14" s="1"/>
      <c r="S14" s="1">
        <v>0</v>
      </c>
      <c r="T14" s="1">
        <v>0</v>
      </c>
      <c r="U14" s="1">
        <v>0</v>
      </c>
      <c r="V14" s="1"/>
      <c r="W14" s="1">
        <v>7.65</v>
      </c>
    </row>
    <row r="15" spans="1:23" x14ac:dyDescent="0.45">
      <c r="A15" s="1">
        <v>14</v>
      </c>
      <c r="B15" s="1" t="s">
        <v>34</v>
      </c>
      <c r="C15" s="1" t="s">
        <v>35</v>
      </c>
      <c r="D15" s="1" t="s">
        <v>36</v>
      </c>
      <c r="E15" s="1" t="s">
        <v>37</v>
      </c>
      <c r="F15" s="1" t="s">
        <v>49</v>
      </c>
      <c r="G15" s="1" t="s">
        <v>50</v>
      </c>
      <c r="H15" s="1" t="s">
        <v>51</v>
      </c>
      <c r="I15" s="1">
        <v>3</v>
      </c>
      <c r="J15" s="1" t="s">
        <v>41</v>
      </c>
      <c r="K15" s="1">
        <v>190</v>
      </c>
      <c r="L15" s="1">
        <v>70.64</v>
      </c>
      <c r="M15" s="1">
        <f t="shared" si="0"/>
        <v>13421.6</v>
      </c>
      <c r="N15" s="1" t="s">
        <v>30</v>
      </c>
      <c r="O15" s="1">
        <v>190</v>
      </c>
      <c r="P15" s="1">
        <v>75.680000000000007</v>
      </c>
      <c r="Q15" s="1">
        <f t="shared" si="1"/>
        <v>14379.2</v>
      </c>
      <c r="R15" s="1"/>
      <c r="S15" s="1">
        <v>0</v>
      </c>
      <c r="T15" s="1">
        <v>0</v>
      </c>
      <c r="U15" s="1">
        <v>0</v>
      </c>
      <c r="V15" s="1" t="s">
        <v>52</v>
      </c>
      <c r="W15" s="1">
        <v>8.0399999999999991</v>
      </c>
    </row>
    <row r="16" spans="1:23" x14ac:dyDescent="0.45">
      <c r="A16" s="1">
        <v>15</v>
      </c>
      <c r="B16" s="1" t="s">
        <v>34</v>
      </c>
      <c r="C16" s="1" t="s">
        <v>35</v>
      </c>
      <c r="D16" s="1" t="s">
        <v>36</v>
      </c>
      <c r="E16" s="1" t="s">
        <v>37</v>
      </c>
      <c r="F16" s="1" t="s">
        <v>49</v>
      </c>
      <c r="G16" s="1" t="s">
        <v>50</v>
      </c>
      <c r="H16" s="1" t="s">
        <v>51</v>
      </c>
      <c r="I16" s="1">
        <v>3</v>
      </c>
      <c r="J16" s="1" t="s">
        <v>41</v>
      </c>
      <c r="K16" s="1">
        <v>190</v>
      </c>
      <c r="L16" s="1">
        <v>70.64</v>
      </c>
      <c r="M16" s="1">
        <f t="shared" si="0"/>
        <v>13421.6</v>
      </c>
      <c r="N16" s="1" t="s">
        <v>32</v>
      </c>
      <c r="O16" s="1">
        <v>190</v>
      </c>
      <c r="P16" s="1">
        <v>75.680000000000007</v>
      </c>
      <c r="Q16" s="1">
        <f t="shared" si="1"/>
        <v>14379.2</v>
      </c>
      <c r="R16" s="1"/>
      <c r="S16" s="1">
        <v>0</v>
      </c>
      <c r="T16" s="1">
        <v>0</v>
      </c>
      <c r="U16" s="1">
        <v>0</v>
      </c>
      <c r="V16" s="1" t="s">
        <v>48</v>
      </c>
      <c r="W16" s="1">
        <v>7.99</v>
      </c>
    </row>
    <row r="17" spans="1:23" x14ac:dyDescent="0.45">
      <c r="A17">
        <v>16</v>
      </c>
      <c r="B17" t="s">
        <v>34</v>
      </c>
      <c r="C17" t="s">
        <v>35</v>
      </c>
      <c r="D17" t="s">
        <v>36</v>
      </c>
      <c r="E17" t="s">
        <v>37</v>
      </c>
      <c r="F17" t="s">
        <v>49</v>
      </c>
      <c r="G17" t="s">
        <v>50</v>
      </c>
      <c r="H17" t="s">
        <v>51</v>
      </c>
      <c r="I17">
        <v>3</v>
      </c>
      <c r="J17" t="s">
        <v>41</v>
      </c>
      <c r="K17">
        <v>190</v>
      </c>
      <c r="L17">
        <v>70.64</v>
      </c>
      <c r="M17">
        <f t="shared" si="0"/>
        <v>13421.6</v>
      </c>
      <c r="N17" t="s">
        <v>33</v>
      </c>
      <c r="O17">
        <v>190</v>
      </c>
      <c r="P17">
        <v>75.379997000000003</v>
      </c>
      <c r="Q17">
        <f t="shared" si="1"/>
        <v>14322.199430000001</v>
      </c>
      <c r="S17">
        <v>0</v>
      </c>
      <c r="T17">
        <v>0</v>
      </c>
      <c r="U17">
        <v>0</v>
      </c>
      <c r="V17" t="s">
        <v>48</v>
      </c>
      <c r="W17">
        <v>7.33</v>
      </c>
    </row>
    <row r="18" spans="1:23" x14ac:dyDescent="0.45">
      <c r="A18" s="1">
        <v>17</v>
      </c>
      <c r="B18" s="1" t="s">
        <v>34</v>
      </c>
      <c r="C18" s="1" t="s">
        <v>35</v>
      </c>
      <c r="D18" s="1" t="s">
        <v>53</v>
      </c>
      <c r="E18" s="1" t="s">
        <v>37</v>
      </c>
      <c r="F18" s="1" t="s">
        <v>54</v>
      </c>
      <c r="G18" s="1" t="s">
        <v>55</v>
      </c>
      <c r="H18" s="1" t="s">
        <v>56</v>
      </c>
      <c r="I18" s="1">
        <v>3</v>
      </c>
      <c r="J18" s="1" t="s">
        <v>57</v>
      </c>
      <c r="K18" s="1">
        <v>230</v>
      </c>
      <c r="L18" s="1">
        <v>62.57</v>
      </c>
      <c r="M18" s="1">
        <f t="shared" si="0"/>
        <v>14391.1</v>
      </c>
      <c r="N18" s="1" t="s">
        <v>30</v>
      </c>
      <c r="O18" s="1">
        <v>230</v>
      </c>
      <c r="P18" s="1">
        <v>62.85</v>
      </c>
      <c r="Q18" s="1">
        <f t="shared" si="1"/>
        <v>14455.5</v>
      </c>
      <c r="R18" s="1"/>
      <c r="S18" s="1">
        <v>0</v>
      </c>
      <c r="T18" s="1">
        <v>0</v>
      </c>
      <c r="U18" s="1">
        <v>0</v>
      </c>
      <c r="V18" s="1" t="s">
        <v>58</v>
      </c>
      <c r="W18" s="1">
        <v>0.03</v>
      </c>
    </row>
    <row r="19" spans="1:23" x14ac:dyDescent="0.45">
      <c r="A19" s="1">
        <v>18</v>
      </c>
      <c r="B19" s="1" t="s">
        <v>34</v>
      </c>
      <c r="C19" s="1" t="s">
        <v>35</v>
      </c>
      <c r="D19" s="1" t="s">
        <v>53</v>
      </c>
      <c r="E19" s="1" t="s">
        <v>37</v>
      </c>
      <c r="F19" s="1" t="s">
        <v>54</v>
      </c>
      <c r="G19" s="1" t="s">
        <v>55</v>
      </c>
      <c r="H19" s="1" t="s">
        <v>56</v>
      </c>
      <c r="I19" s="1">
        <v>3</v>
      </c>
      <c r="J19" s="1" t="s">
        <v>57</v>
      </c>
      <c r="K19" s="1">
        <v>230</v>
      </c>
      <c r="L19" s="1">
        <v>62.57</v>
      </c>
      <c r="M19" s="1">
        <f t="shared" si="0"/>
        <v>14391.1</v>
      </c>
      <c r="N19" s="1" t="s">
        <v>32</v>
      </c>
      <c r="O19" s="1">
        <v>230</v>
      </c>
      <c r="P19" s="1">
        <v>62.849997999999999</v>
      </c>
      <c r="Q19" s="1">
        <f t="shared" si="1"/>
        <v>14455.499540000001</v>
      </c>
      <c r="R19" s="1"/>
      <c r="S19" s="1">
        <v>0</v>
      </c>
      <c r="T19" s="1">
        <v>0</v>
      </c>
      <c r="U19" s="1">
        <v>0</v>
      </c>
      <c r="V19" s="1" t="s">
        <v>59</v>
      </c>
      <c r="W19" s="1">
        <v>0.03</v>
      </c>
    </row>
    <row r="20" spans="1:23" x14ac:dyDescent="0.45">
      <c r="A20">
        <v>19</v>
      </c>
      <c r="B20" t="s">
        <v>34</v>
      </c>
      <c r="C20" t="s">
        <v>35</v>
      </c>
      <c r="D20" t="s">
        <v>53</v>
      </c>
      <c r="E20" t="s">
        <v>37</v>
      </c>
      <c r="F20" t="s">
        <v>54</v>
      </c>
      <c r="G20" t="s">
        <v>55</v>
      </c>
      <c r="H20" t="s">
        <v>56</v>
      </c>
      <c r="I20">
        <v>3</v>
      </c>
      <c r="J20" t="s">
        <v>57</v>
      </c>
      <c r="K20">
        <v>230</v>
      </c>
      <c r="L20">
        <v>62.57</v>
      </c>
      <c r="M20">
        <f t="shared" si="0"/>
        <v>14391.1</v>
      </c>
      <c r="N20" t="s">
        <v>33</v>
      </c>
      <c r="O20">
        <v>230</v>
      </c>
      <c r="P20">
        <v>62.84</v>
      </c>
      <c r="Q20">
        <f t="shared" si="1"/>
        <v>14453.2</v>
      </c>
      <c r="S20">
        <v>0</v>
      </c>
      <c r="T20">
        <v>0</v>
      </c>
      <c r="U20">
        <v>0</v>
      </c>
      <c r="V20" t="s">
        <v>59</v>
      </c>
      <c r="W20">
        <v>0.03</v>
      </c>
    </row>
    <row r="21" spans="1:23" x14ac:dyDescent="0.45">
      <c r="A21" s="1">
        <v>20</v>
      </c>
      <c r="B21" s="1" t="s">
        <v>60</v>
      </c>
      <c r="C21" s="1" t="s">
        <v>35</v>
      </c>
      <c r="D21" s="1" t="s">
        <v>61</v>
      </c>
      <c r="E21" s="1" t="s">
        <v>37</v>
      </c>
      <c r="F21" s="1" t="s">
        <v>62</v>
      </c>
      <c r="G21" s="1" t="s">
        <v>63</v>
      </c>
      <c r="H21" s="1" t="s">
        <v>64</v>
      </c>
      <c r="I21" s="1">
        <v>3</v>
      </c>
      <c r="J21" s="1" t="s">
        <v>41</v>
      </c>
      <c r="K21" s="1">
        <v>75</v>
      </c>
      <c r="L21" s="1">
        <v>102.52</v>
      </c>
      <c r="M21" s="1">
        <f t="shared" si="0"/>
        <v>7689</v>
      </c>
      <c r="N21" s="1" t="s">
        <v>65</v>
      </c>
      <c r="O21" s="1">
        <v>5</v>
      </c>
      <c r="P21" s="1">
        <v>105.817001</v>
      </c>
      <c r="Q21" s="1">
        <f t="shared" si="1"/>
        <v>529.08500500000002</v>
      </c>
      <c r="R21" s="1"/>
      <c r="S21" s="1">
        <v>0</v>
      </c>
      <c r="T21" s="1">
        <v>0</v>
      </c>
      <c r="U21" s="1">
        <v>0</v>
      </c>
      <c r="V21" s="1" t="s">
        <v>66</v>
      </c>
      <c r="W21" s="1">
        <v>3.65</v>
      </c>
    </row>
    <row r="22" spans="1:23" x14ac:dyDescent="0.45">
      <c r="A22" s="1">
        <v>21</v>
      </c>
      <c r="B22" s="1" t="s">
        <v>60</v>
      </c>
      <c r="C22" s="1" t="s">
        <v>35</v>
      </c>
      <c r="D22" s="1" t="s">
        <v>61</v>
      </c>
      <c r="E22" s="1" t="s">
        <v>37</v>
      </c>
      <c r="F22" s="1" t="s">
        <v>62</v>
      </c>
      <c r="G22" s="1" t="s">
        <v>63</v>
      </c>
      <c r="H22" s="1" t="s">
        <v>64</v>
      </c>
      <c r="I22" s="1">
        <v>3</v>
      </c>
      <c r="J22" s="1" t="s">
        <v>41</v>
      </c>
      <c r="K22" s="1">
        <v>75</v>
      </c>
      <c r="L22" s="1">
        <v>102.52</v>
      </c>
      <c r="M22" s="1">
        <f t="shared" si="0"/>
        <v>7689</v>
      </c>
      <c r="N22" s="1" t="s">
        <v>30</v>
      </c>
      <c r="O22" s="1">
        <v>5</v>
      </c>
      <c r="P22" s="1">
        <v>106.86799600000001</v>
      </c>
      <c r="Q22" s="1">
        <f t="shared" si="1"/>
        <v>534.33997999999997</v>
      </c>
      <c r="R22" s="1"/>
      <c r="S22" s="1">
        <v>0</v>
      </c>
      <c r="T22" s="1">
        <v>0</v>
      </c>
      <c r="U22" s="1">
        <v>0</v>
      </c>
      <c r="V22" s="1" t="s">
        <v>31</v>
      </c>
      <c r="W22" s="1">
        <v>4.78</v>
      </c>
    </row>
    <row r="23" spans="1:23" x14ac:dyDescent="0.45">
      <c r="A23" s="1">
        <v>22</v>
      </c>
      <c r="B23" s="1" t="s">
        <v>60</v>
      </c>
      <c r="C23" s="1" t="s">
        <v>35</v>
      </c>
      <c r="D23" s="1" t="s">
        <v>61</v>
      </c>
      <c r="E23" s="1" t="s">
        <v>37</v>
      </c>
      <c r="F23" s="1" t="s">
        <v>62</v>
      </c>
      <c r="G23" s="1" t="s">
        <v>63</v>
      </c>
      <c r="H23" s="1" t="s">
        <v>64</v>
      </c>
      <c r="I23" s="1">
        <v>3</v>
      </c>
      <c r="J23" s="1" t="s">
        <v>41</v>
      </c>
      <c r="K23" s="1">
        <v>75</v>
      </c>
      <c r="L23" s="1">
        <v>102.52</v>
      </c>
      <c r="M23" s="1">
        <f t="shared" si="0"/>
        <v>7689</v>
      </c>
      <c r="N23" s="1" t="s">
        <v>32</v>
      </c>
      <c r="O23" s="1">
        <v>5</v>
      </c>
      <c r="P23" s="1">
        <v>106.86799600000001</v>
      </c>
      <c r="Q23" s="1">
        <f t="shared" si="1"/>
        <v>534.33997999999997</v>
      </c>
      <c r="R23" s="1"/>
      <c r="S23" s="1">
        <v>0</v>
      </c>
      <c r="T23" s="1">
        <v>0</v>
      </c>
      <c r="U23" s="1">
        <v>0</v>
      </c>
      <c r="V23" s="1" t="s">
        <v>31</v>
      </c>
      <c r="W23" s="1">
        <v>4.75</v>
      </c>
    </row>
    <row r="24" spans="1:23" x14ac:dyDescent="0.45">
      <c r="A24">
        <v>23</v>
      </c>
      <c r="B24" t="s">
        <v>60</v>
      </c>
      <c r="C24" t="s">
        <v>35</v>
      </c>
      <c r="D24" t="s">
        <v>61</v>
      </c>
      <c r="E24" t="s">
        <v>37</v>
      </c>
      <c r="F24" t="s">
        <v>62</v>
      </c>
      <c r="G24" t="s">
        <v>63</v>
      </c>
      <c r="H24" t="s">
        <v>64</v>
      </c>
      <c r="I24">
        <v>3</v>
      </c>
      <c r="J24" t="s">
        <v>41</v>
      </c>
      <c r="K24">
        <v>75</v>
      </c>
      <c r="L24">
        <v>102.52</v>
      </c>
      <c r="M24">
        <f t="shared" si="0"/>
        <v>7689</v>
      </c>
      <c r="N24" t="s">
        <v>33</v>
      </c>
      <c r="O24">
        <v>5</v>
      </c>
      <c r="P24">
        <v>105.916</v>
      </c>
      <c r="Q24">
        <f t="shared" si="1"/>
        <v>529.57999999999993</v>
      </c>
      <c r="S24">
        <v>0</v>
      </c>
      <c r="T24">
        <v>0</v>
      </c>
      <c r="U24">
        <v>0</v>
      </c>
      <c r="V24" t="s">
        <v>31</v>
      </c>
      <c r="W24">
        <v>3.62</v>
      </c>
    </row>
    <row r="25" spans="1:23" x14ac:dyDescent="0.45">
      <c r="A25" s="1">
        <v>24</v>
      </c>
      <c r="B25" s="1" t="s">
        <v>60</v>
      </c>
      <c r="C25" s="1" t="s">
        <v>67</v>
      </c>
      <c r="D25" s="1" t="s">
        <v>68</v>
      </c>
      <c r="E25" s="1" t="s">
        <v>69</v>
      </c>
      <c r="F25" s="1" t="s">
        <v>70</v>
      </c>
      <c r="G25" s="1" t="s">
        <v>71</v>
      </c>
      <c r="H25" s="1" t="s">
        <v>72</v>
      </c>
      <c r="I25" s="1">
        <v>3</v>
      </c>
      <c r="J25" s="1" t="s">
        <v>41</v>
      </c>
      <c r="K25" s="1">
        <v>45</v>
      </c>
      <c r="L25" s="1">
        <v>226.95</v>
      </c>
      <c r="M25" s="1">
        <f t="shared" si="0"/>
        <v>10212.75</v>
      </c>
      <c r="N25" s="1" t="s">
        <v>65</v>
      </c>
      <c r="O25" s="1">
        <v>45</v>
      </c>
      <c r="P25" s="1">
        <v>230.050003</v>
      </c>
      <c r="Q25" s="1">
        <f t="shared" si="1"/>
        <v>10352.250135</v>
      </c>
      <c r="R25" s="1"/>
      <c r="S25" s="1">
        <v>0</v>
      </c>
      <c r="T25" s="1">
        <v>0</v>
      </c>
      <c r="U25" s="1">
        <v>0</v>
      </c>
      <c r="V25" s="1" t="s">
        <v>31</v>
      </c>
      <c r="W25" s="1">
        <v>1.55</v>
      </c>
    </row>
    <row r="26" spans="1:23" x14ac:dyDescent="0.45">
      <c r="A26" s="1">
        <v>25</v>
      </c>
      <c r="B26" s="1" t="s">
        <v>60</v>
      </c>
      <c r="C26" s="1" t="s">
        <v>67</v>
      </c>
      <c r="D26" s="1" t="s">
        <v>68</v>
      </c>
      <c r="E26" s="1" t="s">
        <v>69</v>
      </c>
      <c r="F26" s="1" t="s">
        <v>70</v>
      </c>
      <c r="G26" s="1" t="s">
        <v>71</v>
      </c>
      <c r="H26" s="1" t="s">
        <v>72</v>
      </c>
      <c r="I26" s="1">
        <v>3</v>
      </c>
      <c r="J26" s="1" t="s">
        <v>41</v>
      </c>
      <c r="K26" s="1">
        <v>45</v>
      </c>
      <c r="L26" s="1">
        <v>226.95</v>
      </c>
      <c r="M26" s="1">
        <f t="shared" si="0"/>
        <v>10212.75</v>
      </c>
      <c r="N26" s="1" t="s">
        <v>30</v>
      </c>
      <c r="O26" s="1">
        <v>45</v>
      </c>
      <c r="P26" s="1">
        <v>230.509995</v>
      </c>
      <c r="Q26" s="1">
        <f t="shared" si="1"/>
        <v>10372.949775000001</v>
      </c>
      <c r="R26" s="1"/>
      <c r="S26" s="1">
        <v>0</v>
      </c>
      <c r="T26" s="1">
        <v>0</v>
      </c>
      <c r="U26" s="1">
        <v>0</v>
      </c>
      <c r="V26" s="1" t="s">
        <v>31</v>
      </c>
      <c r="W26" s="1">
        <v>1.77</v>
      </c>
    </row>
    <row r="27" spans="1:23" x14ac:dyDescent="0.45">
      <c r="A27" s="1">
        <v>26</v>
      </c>
      <c r="B27" s="1" t="s">
        <v>60</v>
      </c>
      <c r="C27" s="1" t="s">
        <v>67</v>
      </c>
      <c r="D27" s="1" t="s">
        <v>68</v>
      </c>
      <c r="E27" s="1" t="s">
        <v>69</v>
      </c>
      <c r="F27" s="1" t="s">
        <v>70</v>
      </c>
      <c r="G27" s="1" t="s">
        <v>71</v>
      </c>
      <c r="H27" s="1" t="s">
        <v>72</v>
      </c>
      <c r="I27" s="1">
        <v>3</v>
      </c>
      <c r="J27" s="1" t="s">
        <v>41</v>
      </c>
      <c r="K27" s="1">
        <v>45</v>
      </c>
      <c r="L27" s="1">
        <v>226.95</v>
      </c>
      <c r="M27" s="1">
        <f t="shared" si="0"/>
        <v>10212.75</v>
      </c>
      <c r="N27" s="1" t="s">
        <v>32</v>
      </c>
      <c r="O27" s="1">
        <v>45</v>
      </c>
      <c r="P27" s="1">
        <v>230.37640400000001</v>
      </c>
      <c r="Q27" s="1">
        <f t="shared" si="1"/>
        <v>10366.938180000001</v>
      </c>
      <c r="R27" s="1"/>
      <c r="S27" s="1">
        <v>0</v>
      </c>
      <c r="T27" s="1">
        <v>0</v>
      </c>
      <c r="U27" s="1">
        <v>0</v>
      </c>
      <c r="V27" s="1" t="s">
        <v>31</v>
      </c>
      <c r="W27" s="1">
        <v>1.69</v>
      </c>
    </row>
    <row r="28" spans="1:23" x14ac:dyDescent="0.45">
      <c r="A28">
        <v>27</v>
      </c>
      <c r="B28" t="s">
        <v>60</v>
      </c>
      <c r="C28" t="s">
        <v>67</v>
      </c>
      <c r="D28" t="s">
        <v>68</v>
      </c>
      <c r="E28" t="s">
        <v>69</v>
      </c>
      <c r="F28" t="s">
        <v>70</v>
      </c>
      <c r="G28" t="s">
        <v>71</v>
      </c>
      <c r="H28" t="s">
        <v>72</v>
      </c>
      <c r="I28">
        <v>3</v>
      </c>
      <c r="J28" t="s">
        <v>41</v>
      </c>
      <c r="K28">
        <v>45</v>
      </c>
      <c r="L28">
        <v>226.95</v>
      </c>
      <c r="M28">
        <f t="shared" si="0"/>
        <v>10212.75</v>
      </c>
      <c r="N28" t="s">
        <v>33</v>
      </c>
      <c r="O28">
        <v>45</v>
      </c>
      <c r="P28">
        <v>231.699997</v>
      </c>
      <c r="Q28">
        <f t="shared" si="1"/>
        <v>10426.499865</v>
      </c>
      <c r="S28">
        <v>0</v>
      </c>
      <c r="T28">
        <v>0</v>
      </c>
      <c r="U28">
        <v>0</v>
      </c>
      <c r="V28" t="s">
        <v>31</v>
      </c>
      <c r="W28">
        <v>2.29</v>
      </c>
    </row>
    <row r="29" spans="1:23" x14ac:dyDescent="0.45">
      <c r="A29" s="1">
        <v>28</v>
      </c>
      <c r="B29" s="1" t="s">
        <v>60</v>
      </c>
      <c r="C29" s="1" t="s">
        <v>35</v>
      </c>
      <c r="D29" s="1" t="s">
        <v>36</v>
      </c>
      <c r="E29" s="1" t="s">
        <v>37</v>
      </c>
      <c r="F29" s="1" t="s">
        <v>73</v>
      </c>
      <c r="G29" s="1" t="s">
        <v>74</v>
      </c>
      <c r="H29" s="1" t="s">
        <v>75</v>
      </c>
      <c r="I29" s="1">
        <v>3</v>
      </c>
      <c r="J29" s="1" t="s">
        <v>41</v>
      </c>
      <c r="K29" s="1">
        <v>122</v>
      </c>
      <c r="L29" s="1">
        <v>133.38836000000001</v>
      </c>
      <c r="M29" s="1">
        <f t="shared" si="0"/>
        <v>16273.379920000001</v>
      </c>
      <c r="N29" s="1" t="s">
        <v>65</v>
      </c>
      <c r="O29" s="1">
        <v>122</v>
      </c>
      <c r="P29" s="1">
        <v>142.83999600000001</v>
      </c>
      <c r="Q29" s="1">
        <f t="shared" si="1"/>
        <v>17426.479512000002</v>
      </c>
      <c r="R29" s="1"/>
      <c r="S29" s="1">
        <v>0</v>
      </c>
      <c r="T29" s="1">
        <v>0</v>
      </c>
      <c r="U29" s="1">
        <v>0</v>
      </c>
      <c r="V29" s="1" t="s">
        <v>31</v>
      </c>
      <c r="W29" s="1">
        <v>8.0299999999999994</v>
      </c>
    </row>
    <row r="30" spans="1:23" x14ac:dyDescent="0.45">
      <c r="A30" s="1">
        <v>29</v>
      </c>
      <c r="B30" s="1" t="s">
        <v>60</v>
      </c>
      <c r="C30" s="1" t="s">
        <v>35</v>
      </c>
      <c r="D30" s="1" t="s">
        <v>36</v>
      </c>
      <c r="E30" s="1" t="s">
        <v>37</v>
      </c>
      <c r="F30" s="1" t="s">
        <v>73</v>
      </c>
      <c r="G30" s="1" t="s">
        <v>74</v>
      </c>
      <c r="H30" s="1" t="s">
        <v>75</v>
      </c>
      <c r="I30" s="1">
        <v>3</v>
      </c>
      <c r="J30" s="1" t="s">
        <v>41</v>
      </c>
      <c r="K30" s="1">
        <v>122</v>
      </c>
      <c r="L30" s="1">
        <v>133.38836000000001</v>
      </c>
      <c r="M30" s="1">
        <f t="shared" si="0"/>
        <v>16273.379920000001</v>
      </c>
      <c r="N30" s="1" t="s">
        <v>30</v>
      </c>
      <c r="O30" s="1">
        <v>122</v>
      </c>
      <c r="P30" s="1">
        <v>145.08999600000001</v>
      </c>
      <c r="Q30" s="1">
        <f t="shared" si="1"/>
        <v>17700.979512000002</v>
      </c>
      <c r="R30" s="1"/>
      <c r="S30" s="1">
        <v>0</v>
      </c>
      <c r="T30" s="1">
        <v>0</v>
      </c>
      <c r="U30" s="1">
        <v>0</v>
      </c>
      <c r="V30" s="1" t="s">
        <v>31</v>
      </c>
      <c r="W30" s="1">
        <v>9.8800000000000008</v>
      </c>
    </row>
    <row r="31" spans="1:23" x14ac:dyDescent="0.45">
      <c r="A31" s="1">
        <v>30</v>
      </c>
      <c r="B31" s="1" t="s">
        <v>60</v>
      </c>
      <c r="C31" s="1" t="s">
        <v>35</v>
      </c>
      <c r="D31" s="1" t="s">
        <v>36</v>
      </c>
      <c r="E31" s="1" t="s">
        <v>37</v>
      </c>
      <c r="F31" s="1" t="s">
        <v>73</v>
      </c>
      <c r="G31" s="1" t="s">
        <v>74</v>
      </c>
      <c r="H31" s="1" t="s">
        <v>75</v>
      </c>
      <c r="I31" s="1">
        <v>3</v>
      </c>
      <c r="J31" s="1" t="s">
        <v>41</v>
      </c>
      <c r="K31" s="1">
        <v>122</v>
      </c>
      <c r="L31" s="1">
        <v>133.38836000000001</v>
      </c>
      <c r="M31" s="1">
        <f t="shared" si="0"/>
        <v>16273.379920000001</v>
      </c>
      <c r="N31" s="1" t="s">
        <v>32</v>
      </c>
      <c r="O31" s="1">
        <v>122</v>
      </c>
      <c r="P31" s="1">
        <v>145.08999600000001</v>
      </c>
      <c r="Q31" s="1">
        <f t="shared" si="1"/>
        <v>17700.979512000002</v>
      </c>
      <c r="R31" s="1"/>
      <c r="S31" s="1">
        <v>0</v>
      </c>
      <c r="T31" s="1">
        <v>0</v>
      </c>
      <c r="U31" s="1">
        <v>0</v>
      </c>
      <c r="V31" s="1" t="s">
        <v>31</v>
      </c>
      <c r="W31" s="1">
        <v>9.82</v>
      </c>
    </row>
    <row r="32" spans="1:23" x14ac:dyDescent="0.45">
      <c r="A32">
        <v>31</v>
      </c>
      <c r="B32" t="s">
        <v>60</v>
      </c>
      <c r="C32" t="s">
        <v>35</v>
      </c>
      <c r="D32" t="s">
        <v>36</v>
      </c>
      <c r="E32" t="s">
        <v>37</v>
      </c>
      <c r="F32" t="s">
        <v>73</v>
      </c>
      <c r="G32" t="s">
        <v>74</v>
      </c>
      <c r="H32" t="s">
        <v>75</v>
      </c>
      <c r="I32">
        <v>3</v>
      </c>
      <c r="J32" t="s">
        <v>41</v>
      </c>
      <c r="K32">
        <v>122</v>
      </c>
      <c r="L32">
        <v>133.38836000000001</v>
      </c>
      <c r="M32">
        <f t="shared" si="0"/>
        <v>16273.379920000001</v>
      </c>
      <c r="N32" t="s">
        <v>33</v>
      </c>
      <c r="O32">
        <v>122</v>
      </c>
      <c r="P32">
        <v>144.03999300000001</v>
      </c>
      <c r="Q32">
        <f t="shared" si="1"/>
        <v>17572.879146000003</v>
      </c>
      <c r="S32">
        <v>0</v>
      </c>
      <c r="T32">
        <v>0</v>
      </c>
      <c r="U32">
        <v>0</v>
      </c>
      <c r="V32" t="s">
        <v>31</v>
      </c>
      <c r="W32">
        <v>8.73</v>
      </c>
    </row>
    <row r="33" spans="1:23" x14ac:dyDescent="0.45">
      <c r="A33" s="1">
        <v>32</v>
      </c>
      <c r="B33" s="1" t="s">
        <v>60</v>
      </c>
      <c r="C33" s="1" t="s">
        <v>67</v>
      </c>
      <c r="D33" s="1" t="s">
        <v>76</v>
      </c>
      <c r="E33" s="1" t="s">
        <v>69</v>
      </c>
      <c r="F33" s="1" t="s">
        <v>77</v>
      </c>
      <c r="G33" s="1" t="s">
        <v>78</v>
      </c>
      <c r="H33" s="1" t="s">
        <v>79</v>
      </c>
      <c r="I33" s="1">
        <v>3</v>
      </c>
      <c r="J33" s="1" t="s">
        <v>41</v>
      </c>
      <c r="K33" s="1">
        <v>4200</v>
      </c>
      <c r="L33" s="1">
        <v>4.8179999999999996</v>
      </c>
      <c r="M33" s="1">
        <f t="shared" si="0"/>
        <v>20235.599999999999</v>
      </c>
      <c r="N33" s="1" t="s">
        <v>65</v>
      </c>
      <c r="O33" s="1">
        <v>4200</v>
      </c>
      <c r="P33" s="1">
        <v>4.9215</v>
      </c>
      <c r="Q33" s="1">
        <f t="shared" si="1"/>
        <v>20670.3</v>
      </c>
      <c r="R33" s="1"/>
      <c r="S33" s="1">
        <v>0</v>
      </c>
      <c r="T33" s="1">
        <v>0</v>
      </c>
      <c r="U33" s="1">
        <v>0</v>
      </c>
      <c r="V33" s="1" t="s">
        <v>31</v>
      </c>
      <c r="W33" s="1">
        <v>2.44</v>
      </c>
    </row>
    <row r="34" spans="1:23" x14ac:dyDescent="0.45">
      <c r="A34" s="1">
        <v>33</v>
      </c>
      <c r="B34" s="1" t="s">
        <v>60</v>
      </c>
      <c r="C34" s="1" t="s">
        <v>67</v>
      </c>
      <c r="D34" s="1" t="s">
        <v>76</v>
      </c>
      <c r="E34" s="1" t="s">
        <v>69</v>
      </c>
      <c r="F34" s="1" t="s">
        <v>77</v>
      </c>
      <c r="G34" s="1" t="s">
        <v>78</v>
      </c>
      <c r="H34" s="1" t="s">
        <v>79</v>
      </c>
      <c r="I34" s="1">
        <v>3</v>
      </c>
      <c r="J34" s="1" t="s">
        <v>41</v>
      </c>
      <c r="K34" s="1">
        <v>4200</v>
      </c>
      <c r="L34" s="1">
        <v>4.8179999999999996</v>
      </c>
      <c r="M34" s="1">
        <f t="shared" ref="M34:M65" si="2">K34*L34</f>
        <v>20235.599999999999</v>
      </c>
      <c r="N34" s="1" t="s">
        <v>30</v>
      </c>
      <c r="O34" s="1">
        <v>4200</v>
      </c>
      <c r="P34" s="1">
        <v>4.93</v>
      </c>
      <c r="Q34" s="1">
        <f t="shared" ref="Q34:Q65" si="3">O34*P34</f>
        <v>20706</v>
      </c>
      <c r="R34" s="1"/>
      <c r="S34" s="1">
        <v>0</v>
      </c>
      <c r="T34" s="1">
        <v>0</v>
      </c>
      <c r="U34" s="1">
        <v>0</v>
      </c>
      <c r="V34" s="1" t="s">
        <v>31</v>
      </c>
      <c r="W34" s="1">
        <v>2.62</v>
      </c>
    </row>
    <row r="35" spans="1:23" x14ac:dyDescent="0.45">
      <c r="A35" s="1">
        <v>34</v>
      </c>
      <c r="B35" s="1" t="s">
        <v>60</v>
      </c>
      <c r="C35" s="1" t="s">
        <v>67</v>
      </c>
      <c r="D35" s="1" t="s">
        <v>76</v>
      </c>
      <c r="E35" s="1" t="s">
        <v>69</v>
      </c>
      <c r="F35" s="1" t="s">
        <v>77</v>
      </c>
      <c r="G35" s="1" t="s">
        <v>78</v>
      </c>
      <c r="H35" s="1" t="s">
        <v>79</v>
      </c>
      <c r="I35" s="1">
        <v>3</v>
      </c>
      <c r="J35" s="1" t="s">
        <v>41</v>
      </c>
      <c r="K35" s="1">
        <v>4200</v>
      </c>
      <c r="L35" s="1">
        <v>4.8179999999999996</v>
      </c>
      <c r="M35" s="1">
        <f t="shared" si="2"/>
        <v>20235.599999999999</v>
      </c>
      <c r="N35" s="1" t="s">
        <v>32</v>
      </c>
      <c r="O35" s="1">
        <v>4200</v>
      </c>
      <c r="P35" s="1">
        <v>4.93</v>
      </c>
      <c r="Q35" s="1">
        <f t="shared" si="3"/>
        <v>20706</v>
      </c>
      <c r="R35" s="1"/>
      <c r="S35" s="1">
        <v>0</v>
      </c>
      <c r="T35" s="1">
        <v>0</v>
      </c>
      <c r="U35" s="1">
        <v>0</v>
      </c>
      <c r="V35" s="1" t="s">
        <v>31</v>
      </c>
      <c r="W35" s="1">
        <v>2.6</v>
      </c>
    </row>
    <row r="36" spans="1:23" x14ac:dyDescent="0.45">
      <c r="A36">
        <v>35</v>
      </c>
      <c r="B36" t="s">
        <v>60</v>
      </c>
      <c r="C36" t="s">
        <v>67</v>
      </c>
      <c r="D36" t="s">
        <v>76</v>
      </c>
      <c r="E36" t="s">
        <v>69</v>
      </c>
      <c r="F36" t="s">
        <v>77</v>
      </c>
      <c r="G36" t="s">
        <v>78</v>
      </c>
      <c r="H36" t="s">
        <v>79</v>
      </c>
      <c r="I36">
        <v>3</v>
      </c>
      <c r="J36" t="s">
        <v>41</v>
      </c>
      <c r="K36">
        <v>4200</v>
      </c>
      <c r="L36">
        <v>4.8179999999999996</v>
      </c>
      <c r="M36">
        <f t="shared" si="2"/>
        <v>20235.599999999999</v>
      </c>
      <c r="N36" t="s">
        <v>33</v>
      </c>
      <c r="O36">
        <v>4200</v>
      </c>
      <c r="P36">
        <v>4.9340000000000002</v>
      </c>
      <c r="Q36">
        <f t="shared" si="3"/>
        <v>20722.8</v>
      </c>
      <c r="S36">
        <v>0</v>
      </c>
      <c r="T36">
        <v>0</v>
      </c>
      <c r="U36">
        <v>0</v>
      </c>
      <c r="V36" t="s">
        <v>31</v>
      </c>
      <c r="W36">
        <v>2.63</v>
      </c>
    </row>
    <row r="37" spans="1:23" x14ac:dyDescent="0.45">
      <c r="A37" s="1">
        <v>36</v>
      </c>
      <c r="B37" s="1" t="s">
        <v>60</v>
      </c>
      <c r="C37" s="1" t="s">
        <v>35</v>
      </c>
      <c r="D37" s="1" t="s">
        <v>44</v>
      </c>
      <c r="E37" s="1" t="s">
        <v>37</v>
      </c>
      <c r="F37" s="1" t="s">
        <v>80</v>
      </c>
      <c r="G37" s="1" t="s">
        <v>81</v>
      </c>
      <c r="H37" s="1" t="s">
        <v>82</v>
      </c>
      <c r="I37" s="1">
        <v>3</v>
      </c>
      <c r="J37" s="1" t="s">
        <v>41</v>
      </c>
      <c r="K37" s="1">
        <v>210</v>
      </c>
      <c r="L37" s="1">
        <v>33.020000000000003</v>
      </c>
      <c r="M37" s="1">
        <f t="shared" si="2"/>
        <v>6934.2000000000007</v>
      </c>
      <c r="N37" s="1" t="s">
        <v>29</v>
      </c>
      <c r="O37" s="1">
        <v>425</v>
      </c>
      <c r="P37" s="1">
        <v>108.42</v>
      </c>
      <c r="Q37" s="1">
        <f t="shared" si="3"/>
        <v>46078.5</v>
      </c>
      <c r="R37" s="1"/>
      <c r="S37" s="1">
        <v>0</v>
      </c>
      <c r="T37" s="1">
        <v>0</v>
      </c>
      <c r="U37" s="1">
        <v>0</v>
      </c>
      <c r="V37" s="1"/>
      <c r="W37" s="1">
        <v>258.04000000000002</v>
      </c>
    </row>
    <row r="38" spans="1:23" x14ac:dyDescent="0.45">
      <c r="A38" s="1">
        <v>37</v>
      </c>
      <c r="B38" s="1" t="s">
        <v>60</v>
      </c>
      <c r="C38" s="1" t="s">
        <v>35</v>
      </c>
      <c r="D38" s="1" t="s">
        <v>44</v>
      </c>
      <c r="E38" s="1" t="s">
        <v>37</v>
      </c>
      <c r="F38" s="1" t="s">
        <v>80</v>
      </c>
      <c r="G38" s="1" t="s">
        <v>81</v>
      </c>
      <c r="H38" s="1" t="s">
        <v>82</v>
      </c>
      <c r="I38" s="1">
        <v>3</v>
      </c>
      <c r="J38" s="1" t="s">
        <v>41</v>
      </c>
      <c r="K38" s="1">
        <v>210</v>
      </c>
      <c r="L38" s="1">
        <v>33.020000000000003</v>
      </c>
      <c r="M38" s="1">
        <f t="shared" si="2"/>
        <v>6934.2000000000007</v>
      </c>
      <c r="N38" s="1" t="s">
        <v>30</v>
      </c>
      <c r="O38" s="1">
        <v>425</v>
      </c>
      <c r="P38" s="1">
        <v>108.769997</v>
      </c>
      <c r="Q38" s="1">
        <f t="shared" si="3"/>
        <v>46227.248725000005</v>
      </c>
      <c r="R38" s="1"/>
      <c r="S38" s="1">
        <v>0</v>
      </c>
      <c r="T38" s="1">
        <v>0</v>
      </c>
      <c r="U38" s="1">
        <v>0</v>
      </c>
      <c r="V38" s="1" t="s">
        <v>31</v>
      </c>
      <c r="W38" s="1">
        <v>258.44</v>
      </c>
    </row>
    <row r="39" spans="1:23" x14ac:dyDescent="0.45">
      <c r="A39" s="1">
        <v>38</v>
      </c>
      <c r="B39" s="1" t="s">
        <v>60</v>
      </c>
      <c r="C39" s="1" t="s">
        <v>35</v>
      </c>
      <c r="D39" s="1" t="s">
        <v>44</v>
      </c>
      <c r="E39" s="1" t="s">
        <v>37</v>
      </c>
      <c r="F39" s="1" t="s">
        <v>80</v>
      </c>
      <c r="G39" s="1" t="s">
        <v>81</v>
      </c>
      <c r="H39" s="1" t="s">
        <v>82</v>
      </c>
      <c r="I39" s="1">
        <v>3</v>
      </c>
      <c r="J39" s="1" t="s">
        <v>41</v>
      </c>
      <c r="K39" s="1">
        <v>210</v>
      </c>
      <c r="L39" s="1">
        <v>33.020000000000003</v>
      </c>
      <c r="M39" s="1">
        <f t="shared" si="2"/>
        <v>6934.2000000000007</v>
      </c>
      <c r="N39" s="1" t="s">
        <v>32</v>
      </c>
      <c r="O39" s="1">
        <v>425</v>
      </c>
      <c r="P39" s="1">
        <v>108.769997</v>
      </c>
      <c r="Q39" s="1">
        <f t="shared" si="3"/>
        <v>46227.248725000005</v>
      </c>
      <c r="R39" s="1"/>
      <c r="S39" s="1">
        <v>0</v>
      </c>
      <c r="T39" s="1">
        <v>0</v>
      </c>
      <c r="U39" s="1">
        <v>0</v>
      </c>
      <c r="V39" s="1" t="s">
        <v>31</v>
      </c>
      <c r="W39" s="1">
        <v>256.85000000000002</v>
      </c>
    </row>
    <row r="40" spans="1:23" x14ac:dyDescent="0.45">
      <c r="A40">
        <v>39</v>
      </c>
      <c r="B40" t="s">
        <v>60</v>
      </c>
      <c r="C40" t="s">
        <v>35</v>
      </c>
      <c r="D40" t="s">
        <v>44</v>
      </c>
      <c r="E40" t="s">
        <v>37</v>
      </c>
      <c r="F40" t="s">
        <v>80</v>
      </c>
      <c r="G40" t="s">
        <v>81</v>
      </c>
      <c r="H40" t="s">
        <v>82</v>
      </c>
      <c r="I40">
        <v>4</v>
      </c>
      <c r="J40" t="s">
        <v>41</v>
      </c>
      <c r="K40">
        <v>210</v>
      </c>
      <c r="L40">
        <v>100</v>
      </c>
      <c r="M40">
        <f t="shared" si="2"/>
        <v>21000</v>
      </c>
      <c r="N40" t="s">
        <v>33</v>
      </c>
      <c r="O40">
        <v>425</v>
      </c>
      <c r="P40">
        <v>108.870003</v>
      </c>
      <c r="Q40">
        <f t="shared" si="3"/>
        <v>46269.751275000002</v>
      </c>
      <c r="S40">
        <v>0</v>
      </c>
      <c r="T40">
        <v>0</v>
      </c>
      <c r="U40">
        <v>0</v>
      </c>
      <c r="V40" t="s">
        <v>31</v>
      </c>
      <c r="W40">
        <v>9.69</v>
      </c>
    </row>
    <row r="41" spans="1:23" x14ac:dyDescent="0.45">
      <c r="A41" s="1">
        <v>40</v>
      </c>
      <c r="B41" s="1" t="s">
        <v>60</v>
      </c>
      <c r="C41" s="1" t="s">
        <v>35</v>
      </c>
      <c r="D41" s="1" t="s">
        <v>53</v>
      </c>
      <c r="E41" s="1" t="s">
        <v>37</v>
      </c>
      <c r="F41" s="1" t="s">
        <v>83</v>
      </c>
      <c r="G41" s="1" t="s">
        <v>84</v>
      </c>
      <c r="H41" s="1" t="s">
        <v>85</v>
      </c>
      <c r="I41" s="1">
        <v>3</v>
      </c>
      <c r="J41" s="1" t="s">
        <v>41</v>
      </c>
      <c r="K41" s="1">
        <v>400</v>
      </c>
      <c r="L41" s="1">
        <v>99.86</v>
      </c>
      <c r="M41" s="1">
        <f t="shared" si="2"/>
        <v>39944</v>
      </c>
      <c r="N41" s="1" t="s">
        <v>29</v>
      </c>
      <c r="O41" s="1">
        <v>450</v>
      </c>
      <c r="P41" s="1">
        <v>108.36</v>
      </c>
      <c r="Q41" s="1">
        <f t="shared" si="3"/>
        <v>48762</v>
      </c>
      <c r="R41" s="1"/>
      <c r="S41" s="1">
        <v>0</v>
      </c>
      <c r="T41" s="1">
        <v>0</v>
      </c>
      <c r="U41" s="1">
        <v>0</v>
      </c>
      <c r="V41" s="1"/>
      <c r="W41" s="1">
        <v>9.6199999999999992</v>
      </c>
    </row>
    <row r="42" spans="1:23" x14ac:dyDescent="0.45">
      <c r="A42" s="1">
        <v>41</v>
      </c>
      <c r="B42" s="1" t="s">
        <v>60</v>
      </c>
      <c r="C42" s="1" t="s">
        <v>35</v>
      </c>
      <c r="D42" s="1" t="s">
        <v>53</v>
      </c>
      <c r="E42" s="1" t="s">
        <v>37</v>
      </c>
      <c r="F42" s="1" t="s">
        <v>83</v>
      </c>
      <c r="G42" s="1" t="s">
        <v>84</v>
      </c>
      <c r="H42" s="1" t="s">
        <v>85</v>
      </c>
      <c r="I42" s="1">
        <v>3</v>
      </c>
      <c r="J42" s="1" t="s">
        <v>41</v>
      </c>
      <c r="K42" s="1">
        <v>400</v>
      </c>
      <c r="L42" s="1">
        <v>99.86</v>
      </c>
      <c r="M42" s="1">
        <f t="shared" si="2"/>
        <v>39944</v>
      </c>
      <c r="N42" s="1" t="s">
        <v>30</v>
      </c>
      <c r="O42" s="1">
        <v>450</v>
      </c>
      <c r="P42" s="1">
        <v>108.870003</v>
      </c>
      <c r="Q42" s="1">
        <f t="shared" si="3"/>
        <v>48991.501349999999</v>
      </c>
      <c r="R42" s="1"/>
      <c r="S42" s="1">
        <v>0</v>
      </c>
      <c r="T42" s="1">
        <v>0</v>
      </c>
      <c r="U42" s="1">
        <v>0</v>
      </c>
      <c r="V42" s="1" t="s">
        <v>31</v>
      </c>
      <c r="W42" s="1">
        <v>10.16</v>
      </c>
    </row>
    <row r="43" spans="1:23" x14ac:dyDescent="0.45">
      <c r="A43" s="1">
        <v>42</v>
      </c>
      <c r="B43" s="1" t="s">
        <v>60</v>
      </c>
      <c r="C43" s="1" t="s">
        <v>35</v>
      </c>
      <c r="D43" s="1" t="s">
        <v>53</v>
      </c>
      <c r="E43" s="1" t="s">
        <v>37</v>
      </c>
      <c r="F43" s="1" t="s">
        <v>83</v>
      </c>
      <c r="G43" s="1" t="s">
        <v>84</v>
      </c>
      <c r="H43" s="1" t="s">
        <v>85</v>
      </c>
      <c r="I43" s="1">
        <v>3</v>
      </c>
      <c r="J43" s="1" t="s">
        <v>41</v>
      </c>
      <c r="K43" s="1">
        <v>400</v>
      </c>
      <c r="L43" s="1">
        <v>99.86</v>
      </c>
      <c r="M43" s="1">
        <f t="shared" si="2"/>
        <v>39944</v>
      </c>
      <c r="N43" s="1" t="s">
        <v>32</v>
      </c>
      <c r="O43" s="1">
        <v>450</v>
      </c>
      <c r="P43" s="1">
        <v>108.870003</v>
      </c>
      <c r="Q43" s="1">
        <f t="shared" si="3"/>
        <v>48991.501349999999</v>
      </c>
      <c r="R43" s="1"/>
      <c r="S43" s="1">
        <v>0</v>
      </c>
      <c r="T43" s="1">
        <v>0</v>
      </c>
      <c r="U43" s="1">
        <v>0</v>
      </c>
      <c r="V43" s="1" t="s">
        <v>31</v>
      </c>
      <c r="W43" s="1">
        <v>10.1</v>
      </c>
    </row>
    <row r="44" spans="1:23" x14ac:dyDescent="0.45">
      <c r="A44">
        <v>43</v>
      </c>
      <c r="B44" t="s">
        <v>60</v>
      </c>
      <c r="C44" t="s">
        <v>35</v>
      </c>
      <c r="D44" t="s">
        <v>53</v>
      </c>
      <c r="E44" t="s">
        <v>37</v>
      </c>
      <c r="F44" t="s">
        <v>83</v>
      </c>
      <c r="G44" t="s">
        <v>84</v>
      </c>
      <c r="H44" t="s">
        <v>85</v>
      </c>
      <c r="I44">
        <v>3</v>
      </c>
      <c r="J44" t="s">
        <v>41</v>
      </c>
      <c r="K44">
        <v>400</v>
      </c>
      <c r="L44">
        <v>99.86</v>
      </c>
      <c r="M44">
        <f t="shared" si="2"/>
        <v>39944</v>
      </c>
      <c r="N44" t="s">
        <v>33</v>
      </c>
      <c r="O44">
        <v>450</v>
      </c>
      <c r="P44">
        <v>108.66999800000001</v>
      </c>
      <c r="Q44">
        <f t="shared" si="3"/>
        <v>48901.499100000001</v>
      </c>
      <c r="S44">
        <v>0</v>
      </c>
      <c r="T44">
        <v>0</v>
      </c>
      <c r="U44">
        <v>0</v>
      </c>
      <c r="V44" t="s">
        <v>31</v>
      </c>
      <c r="W44">
        <v>9.64</v>
      </c>
    </row>
    <row r="45" spans="1:23" x14ac:dyDescent="0.45">
      <c r="A45" s="1">
        <v>44</v>
      </c>
      <c r="B45" s="1" t="s">
        <v>86</v>
      </c>
      <c r="C45" s="1" t="s">
        <v>35</v>
      </c>
      <c r="D45" s="1" t="s">
        <v>44</v>
      </c>
      <c r="E45" s="1" t="s">
        <v>37</v>
      </c>
      <c r="F45" s="1" t="s">
        <v>87</v>
      </c>
      <c r="G45" s="1" t="s">
        <v>88</v>
      </c>
      <c r="H45" s="1" t="s">
        <v>89</v>
      </c>
      <c r="I45" s="1">
        <v>3</v>
      </c>
      <c r="J45" s="1" t="s">
        <v>90</v>
      </c>
      <c r="K45" s="1">
        <v>60</v>
      </c>
      <c r="L45" s="1">
        <v>549.04100000000005</v>
      </c>
      <c r="M45" s="1">
        <f t="shared" si="2"/>
        <v>32942.460000000006</v>
      </c>
      <c r="N45" s="1" t="s">
        <v>29</v>
      </c>
      <c r="O45" s="1">
        <v>60</v>
      </c>
      <c r="P45" s="1">
        <v>611.61</v>
      </c>
      <c r="Q45" s="1">
        <f t="shared" si="3"/>
        <v>36696.6</v>
      </c>
      <c r="R45" s="1"/>
      <c r="S45" s="1">
        <v>0</v>
      </c>
      <c r="T45" s="1">
        <v>0</v>
      </c>
      <c r="U45" s="1">
        <v>0</v>
      </c>
      <c r="V45" s="1" t="s">
        <v>91</v>
      </c>
      <c r="W45" s="1">
        <v>12.92</v>
      </c>
    </row>
    <row r="46" spans="1:23" x14ac:dyDescent="0.45">
      <c r="A46" s="1">
        <v>45</v>
      </c>
      <c r="B46" s="1" t="s">
        <v>86</v>
      </c>
      <c r="C46" s="1" t="s">
        <v>35</v>
      </c>
      <c r="D46" s="1" t="s">
        <v>44</v>
      </c>
      <c r="E46" s="1" t="s">
        <v>37</v>
      </c>
      <c r="F46" s="1" t="s">
        <v>87</v>
      </c>
      <c r="G46" s="1" t="s">
        <v>88</v>
      </c>
      <c r="H46" s="1" t="s">
        <v>89</v>
      </c>
      <c r="I46" s="1">
        <v>3</v>
      </c>
      <c r="J46" s="1" t="s">
        <v>90</v>
      </c>
      <c r="K46" s="1">
        <v>60</v>
      </c>
      <c r="L46" s="1">
        <v>563.90150000000006</v>
      </c>
      <c r="M46" s="1">
        <f t="shared" si="2"/>
        <v>33834.090000000004</v>
      </c>
      <c r="N46" s="1" t="s">
        <v>30</v>
      </c>
      <c r="O46" s="1">
        <v>60</v>
      </c>
      <c r="P46" s="1">
        <v>613.70000000000005</v>
      </c>
      <c r="Q46" s="1">
        <f t="shared" si="3"/>
        <v>36822</v>
      </c>
      <c r="R46" s="1"/>
      <c r="S46" s="1">
        <v>0</v>
      </c>
      <c r="T46" s="1">
        <v>0</v>
      </c>
      <c r="U46" s="1">
        <v>0</v>
      </c>
      <c r="V46" s="1" t="s">
        <v>42</v>
      </c>
      <c r="W46" s="1">
        <v>9.98</v>
      </c>
    </row>
    <row r="47" spans="1:23" x14ac:dyDescent="0.45">
      <c r="A47" s="1">
        <v>46</v>
      </c>
      <c r="B47" s="1" t="s">
        <v>86</v>
      </c>
      <c r="C47" s="1" t="s">
        <v>35</v>
      </c>
      <c r="D47" s="1" t="s">
        <v>44</v>
      </c>
      <c r="E47" s="1" t="s">
        <v>37</v>
      </c>
      <c r="F47" s="1" t="s">
        <v>87</v>
      </c>
      <c r="G47" s="1" t="s">
        <v>88</v>
      </c>
      <c r="H47" s="1" t="s">
        <v>89</v>
      </c>
      <c r="I47" s="1">
        <v>3</v>
      </c>
      <c r="J47" s="1" t="s">
        <v>90</v>
      </c>
      <c r="K47" s="1">
        <v>60</v>
      </c>
      <c r="L47" s="1">
        <v>563.90150000000006</v>
      </c>
      <c r="M47" s="1">
        <f t="shared" si="2"/>
        <v>33834.090000000004</v>
      </c>
      <c r="N47" s="1" t="s">
        <v>32</v>
      </c>
      <c r="O47" s="1">
        <v>60</v>
      </c>
      <c r="P47" s="1">
        <v>613.70001200000002</v>
      </c>
      <c r="Q47" s="1">
        <f t="shared" si="3"/>
        <v>36822.000720000004</v>
      </c>
      <c r="R47" s="1"/>
      <c r="S47" s="1">
        <v>0</v>
      </c>
      <c r="T47" s="1">
        <v>0</v>
      </c>
      <c r="U47" s="1">
        <v>0</v>
      </c>
      <c r="V47" s="1" t="s">
        <v>92</v>
      </c>
      <c r="W47" s="1">
        <v>9.92</v>
      </c>
    </row>
    <row r="48" spans="1:23" x14ac:dyDescent="0.45">
      <c r="A48">
        <v>47</v>
      </c>
      <c r="B48" t="s">
        <v>86</v>
      </c>
      <c r="C48" t="s">
        <v>35</v>
      </c>
      <c r="D48" t="s">
        <v>44</v>
      </c>
      <c r="E48" t="s">
        <v>37</v>
      </c>
      <c r="F48" t="s">
        <v>87</v>
      </c>
      <c r="G48" t="s">
        <v>88</v>
      </c>
      <c r="H48" t="s">
        <v>89</v>
      </c>
      <c r="I48">
        <v>3</v>
      </c>
      <c r="J48" t="s">
        <v>90</v>
      </c>
      <c r="K48">
        <v>60</v>
      </c>
      <c r="L48">
        <v>563.90150000000006</v>
      </c>
      <c r="M48">
        <f t="shared" si="2"/>
        <v>33834.090000000004</v>
      </c>
      <c r="N48" t="s">
        <v>33</v>
      </c>
      <c r="O48">
        <v>60</v>
      </c>
      <c r="P48">
        <v>614.34997599999997</v>
      </c>
      <c r="Q48">
        <f t="shared" si="3"/>
        <v>36860.99856</v>
      </c>
      <c r="S48">
        <v>0</v>
      </c>
      <c r="T48">
        <v>0</v>
      </c>
      <c r="U48">
        <v>0</v>
      </c>
      <c r="V48" t="s">
        <v>43</v>
      </c>
      <c r="W48">
        <v>9.81</v>
      </c>
    </row>
    <row r="49" spans="1:23" x14ac:dyDescent="0.45">
      <c r="A49" s="1">
        <v>48</v>
      </c>
      <c r="B49" s="1" t="s">
        <v>23</v>
      </c>
      <c r="C49" s="1" t="s">
        <v>35</v>
      </c>
      <c r="D49" s="1" t="s">
        <v>93</v>
      </c>
      <c r="E49" s="1" t="s">
        <v>37</v>
      </c>
      <c r="F49" s="1" t="s">
        <v>94</v>
      </c>
      <c r="G49" s="1" t="s">
        <v>95</v>
      </c>
      <c r="H49" s="1" t="s">
        <v>96</v>
      </c>
      <c r="I49" s="1">
        <v>3</v>
      </c>
      <c r="J49" s="1" t="s">
        <v>97</v>
      </c>
      <c r="K49" s="1">
        <v>104.740071</v>
      </c>
      <c r="L49" s="1">
        <v>30</v>
      </c>
      <c r="M49" s="1">
        <f t="shared" si="2"/>
        <v>3142.2021300000001</v>
      </c>
      <c r="N49" s="1" t="s">
        <v>30</v>
      </c>
      <c r="O49" s="1">
        <v>638.27490899999998</v>
      </c>
      <c r="P49" s="1">
        <v>37.32</v>
      </c>
      <c r="Q49" s="1">
        <f t="shared" si="3"/>
        <v>23820.41960388</v>
      </c>
      <c r="R49" s="1"/>
      <c r="S49" s="1">
        <v>0</v>
      </c>
      <c r="T49" s="1">
        <v>0</v>
      </c>
      <c r="U49" s="1">
        <v>0</v>
      </c>
      <c r="V49" s="1" t="s">
        <v>58</v>
      </c>
      <c r="W49" s="1">
        <v>2.15</v>
      </c>
    </row>
    <row r="50" spans="1:23" x14ac:dyDescent="0.45">
      <c r="A50" s="1">
        <v>49</v>
      </c>
      <c r="B50" s="1" t="s">
        <v>23</v>
      </c>
      <c r="C50" s="1" t="s">
        <v>35</v>
      </c>
      <c r="D50" s="1" t="s">
        <v>93</v>
      </c>
      <c r="E50" s="1" t="s">
        <v>37</v>
      </c>
      <c r="F50" s="1" t="s">
        <v>94</v>
      </c>
      <c r="G50" s="1" t="s">
        <v>95</v>
      </c>
      <c r="H50" s="1" t="s">
        <v>96</v>
      </c>
      <c r="I50" s="1">
        <v>3</v>
      </c>
      <c r="J50" s="1" t="s">
        <v>97</v>
      </c>
      <c r="K50" s="1">
        <v>104.740071</v>
      </c>
      <c r="L50" s="1">
        <v>30</v>
      </c>
      <c r="M50" s="1">
        <f t="shared" si="2"/>
        <v>3142.2021300000001</v>
      </c>
      <c r="N50" s="1" t="s">
        <v>32</v>
      </c>
      <c r="O50" s="1">
        <v>638.27490899999998</v>
      </c>
      <c r="P50" s="1">
        <v>37.509998000000003</v>
      </c>
      <c r="Q50" s="1">
        <f t="shared" si="3"/>
        <v>23941.690560040184</v>
      </c>
      <c r="R50" s="1"/>
      <c r="S50" s="1">
        <v>0</v>
      </c>
      <c r="T50" s="1">
        <v>0</v>
      </c>
      <c r="U50" s="1">
        <v>0</v>
      </c>
      <c r="V50" s="1" t="s">
        <v>31</v>
      </c>
      <c r="W50" s="1">
        <v>2.2000000000000002</v>
      </c>
    </row>
    <row r="51" spans="1:23" x14ac:dyDescent="0.45">
      <c r="A51">
        <v>50</v>
      </c>
      <c r="B51" t="s">
        <v>23</v>
      </c>
      <c r="C51" t="s">
        <v>35</v>
      </c>
      <c r="D51" t="s">
        <v>93</v>
      </c>
      <c r="E51" t="s">
        <v>37</v>
      </c>
      <c r="F51" t="s">
        <v>94</v>
      </c>
      <c r="G51" t="s">
        <v>95</v>
      </c>
      <c r="H51" t="s">
        <v>96</v>
      </c>
      <c r="I51">
        <v>3</v>
      </c>
      <c r="J51" t="s">
        <v>97</v>
      </c>
      <c r="K51">
        <v>104.740071</v>
      </c>
      <c r="L51">
        <v>30</v>
      </c>
      <c r="M51">
        <f t="shared" si="2"/>
        <v>3142.2021300000001</v>
      </c>
      <c r="N51" t="s">
        <v>33</v>
      </c>
      <c r="O51">
        <v>638.27490899999998</v>
      </c>
      <c r="P51">
        <v>37.564999</v>
      </c>
      <c r="Q51">
        <f t="shared" si="3"/>
        <v>23976.796318310091</v>
      </c>
      <c r="S51">
        <v>0</v>
      </c>
      <c r="T51">
        <v>0</v>
      </c>
      <c r="U51">
        <v>0</v>
      </c>
      <c r="V51" t="s">
        <v>31</v>
      </c>
      <c r="W51">
        <v>2.2200000000000002</v>
      </c>
    </row>
    <row r="52" spans="1:23" x14ac:dyDescent="0.45">
      <c r="A52" s="1">
        <v>51</v>
      </c>
      <c r="B52" s="1" t="s">
        <v>23</v>
      </c>
      <c r="C52" s="1" t="s">
        <v>35</v>
      </c>
      <c r="D52" s="1" t="s">
        <v>53</v>
      </c>
      <c r="E52" s="1" t="s">
        <v>37</v>
      </c>
      <c r="F52" s="1" t="s">
        <v>98</v>
      </c>
      <c r="G52" s="1" t="s">
        <v>99</v>
      </c>
      <c r="H52" s="1" t="s">
        <v>100</v>
      </c>
      <c r="I52" s="1">
        <v>3</v>
      </c>
      <c r="J52" s="1" t="s">
        <v>101</v>
      </c>
      <c r="K52" s="1">
        <v>4.6855960000000003</v>
      </c>
      <c r="L52" s="1">
        <v>130.01400000000001</v>
      </c>
      <c r="M52" s="1">
        <f t="shared" si="2"/>
        <v>609.19307834400013</v>
      </c>
      <c r="N52" s="1" t="s">
        <v>65</v>
      </c>
      <c r="O52" s="1">
        <v>4.6855960000000003</v>
      </c>
      <c r="P52" s="1">
        <v>135.662003</v>
      </c>
      <c r="Q52" s="1">
        <f t="shared" si="3"/>
        <v>635.657338608788</v>
      </c>
      <c r="R52" s="1"/>
      <c r="S52" s="1">
        <v>0</v>
      </c>
      <c r="T52" s="1">
        <v>0</v>
      </c>
      <c r="U52" s="1">
        <v>0</v>
      </c>
      <c r="V52" s="1" t="s">
        <v>31</v>
      </c>
      <c r="W52" s="1">
        <v>58.73</v>
      </c>
    </row>
    <row r="53" spans="1:23" x14ac:dyDescent="0.45">
      <c r="A53" s="1">
        <v>52</v>
      </c>
      <c r="B53" s="1" t="s">
        <v>23</v>
      </c>
      <c r="C53" s="1" t="s">
        <v>35</v>
      </c>
      <c r="D53" s="1" t="s">
        <v>53</v>
      </c>
      <c r="E53" s="1" t="s">
        <v>37</v>
      </c>
      <c r="F53" s="1" t="s">
        <v>98</v>
      </c>
      <c r="G53" s="1" t="s">
        <v>99</v>
      </c>
      <c r="H53" s="1" t="s">
        <v>100</v>
      </c>
      <c r="I53" s="1">
        <v>3</v>
      </c>
      <c r="J53" s="1" t="s">
        <v>101</v>
      </c>
      <c r="K53" s="1">
        <v>4.6855960000000003</v>
      </c>
      <c r="L53" s="1">
        <v>130.01400000000001</v>
      </c>
      <c r="M53" s="1">
        <f t="shared" si="2"/>
        <v>609.19307834400013</v>
      </c>
      <c r="N53" s="1" t="s">
        <v>30</v>
      </c>
      <c r="O53" s="1">
        <v>4.6855960000000003</v>
      </c>
      <c r="P53" s="1">
        <v>136.712006</v>
      </c>
      <c r="Q53" s="1">
        <f t="shared" si="3"/>
        <v>640.57722846557601</v>
      </c>
      <c r="R53" s="1"/>
      <c r="S53" s="1">
        <v>0</v>
      </c>
      <c r="T53" s="1">
        <v>0</v>
      </c>
      <c r="U53" s="1">
        <v>0</v>
      </c>
      <c r="V53" s="1" t="s">
        <v>31</v>
      </c>
      <c r="W53" s="1">
        <v>64.84</v>
      </c>
    </row>
    <row r="54" spans="1:23" x14ac:dyDescent="0.45">
      <c r="A54" s="1">
        <v>53</v>
      </c>
      <c r="B54" s="1" t="s">
        <v>23</v>
      </c>
      <c r="C54" s="1" t="s">
        <v>35</v>
      </c>
      <c r="D54" s="1" t="s">
        <v>53</v>
      </c>
      <c r="E54" s="1" t="s">
        <v>37</v>
      </c>
      <c r="F54" s="1" t="s">
        <v>98</v>
      </c>
      <c r="G54" s="1" t="s">
        <v>99</v>
      </c>
      <c r="H54" s="1" t="s">
        <v>100</v>
      </c>
      <c r="I54" s="1">
        <v>3</v>
      </c>
      <c r="J54" s="1" t="s">
        <v>101</v>
      </c>
      <c r="K54" s="1">
        <v>4.6855960000000003</v>
      </c>
      <c r="L54" s="1">
        <v>130.01400000000001</v>
      </c>
      <c r="M54" s="1">
        <f t="shared" si="2"/>
        <v>609.19307834400013</v>
      </c>
      <c r="N54" s="1" t="s">
        <v>32</v>
      </c>
      <c r="O54" s="1">
        <v>4.6855960000000003</v>
      </c>
      <c r="P54" s="1">
        <v>136.712006</v>
      </c>
      <c r="Q54" s="1">
        <f t="shared" si="3"/>
        <v>640.57722846557601</v>
      </c>
      <c r="R54" s="1"/>
      <c r="S54" s="1">
        <v>0</v>
      </c>
      <c r="T54" s="1">
        <v>0</v>
      </c>
      <c r="U54" s="1">
        <v>0</v>
      </c>
      <c r="V54" s="1" t="s">
        <v>31</v>
      </c>
      <c r="W54" s="1">
        <v>60.66</v>
      </c>
    </row>
    <row r="55" spans="1:23" x14ac:dyDescent="0.45">
      <c r="A55">
        <v>54</v>
      </c>
      <c r="B55" t="s">
        <v>23</v>
      </c>
      <c r="C55" t="s">
        <v>35</v>
      </c>
      <c r="D55" t="s">
        <v>53</v>
      </c>
      <c r="E55" t="s">
        <v>37</v>
      </c>
      <c r="F55" t="s">
        <v>98</v>
      </c>
      <c r="G55" t="s">
        <v>99</v>
      </c>
      <c r="H55" t="s">
        <v>100</v>
      </c>
      <c r="I55">
        <v>3</v>
      </c>
      <c r="J55" t="s">
        <v>101</v>
      </c>
      <c r="K55">
        <v>4.6855960000000003</v>
      </c>
      <c r="L55">
        <v>130.01400000000001</v>
      </c>
      <c r="M55">
        <f t="shared" si="2"/>
        <v>609.19307834400013</v>
      </c>
      <c r="N55" t="s">
        <v>33</v>
      </c>
      <c r="O55">
        <v>4.6855960000000003</v>
      </c>
      <c r="P55">
        <v>136.496002</v>
      </c>
      <c r="Q55">
        <f t="shared" si="3"/>
        <v>639.56512098719202</v>
      </c>
      <c r="S55">
        <v>0</v>
      </c>
      <c r="T55">
        <v>0</v>
      </c>
      <c r="U55">
        <v>0</v>
      </c>
      <c r="V55" t="s">
        <v>31</v>
      </c>
      <c r="W55">
        <v>46.66</v>
      </c>
    </row>
    <row r="56" spans="1:23" x14ac:dyDescent="0.45">
      <c r="A56" s="1">
        <v>55</v>
      </c>
      <c r="B56" s="1" t="s">
        <v>23</v>
      </c>
      <c r="C56" s="1" t="s">
        <v>35</v>
      </c>
      <c r="D56" s="1" t="s">
        <v>53</v>
      </c>
      <c r="E56" s="1" t="s">
        <v>37</v>
      </c>
      <c r="F56" s="1" t="s">
        <v>98</v>
      </c>
      <c r="G56" s="1" t="s">
        <v>84</v>
      </c>
      <c r="H56" s="1" t="s">
        <v>102</v>
      </c>
      <c r="I56" s="1">
        <v>3</v>
      </c>
      <c r="J56" s="1" t="s">
        <v>28</v>
      </c>
      <c r="K56" s="1">
        <v>104.740071</v>
      </c>
      <c r="L56" s="1">
        <v>85.94</v>
      </c>
      <c r="M56" s="1">
        <f t="shared" si="2"/>
        <v>9001.3617017399993</v>
      </c>
      <c r="N56" s="1" t="s">
        <v>29</v>
      </c>
      <c r="O56" s="1">
        <v>104.740071</v>
      </c>
      <c r="P56" s="1">
        <v>108.39</v>
      </c>
      <c r="Q56" s="1">
        <f t="shared" si="3"/>
        <v>11352.776295690001</v>
      </c>
      <c r="R56" s="1"/>
      <c r="S56" s="1">
        <v>0</v>
      </c>
      <c r="T56" s="1">
        <v>0</v>
      </c>
      <c r="U56" s="1">
        <v>0</v>
      </c>
      <c r="V56" s="1"/>
      <c r="W56" s="1">
        <v>257.7</v>
      </c>
    </row>
    <row r="57" spans="1:23" x14ac:dyDescent="0.45">
      <c r="A57" s="1">
        <v>56</v>
      </c>
      <c r="B57" s="1" t="s">
        <v>23</v>
      </c>
      <c r="C57" s="1" t="s">
        <v>35</v>
      </c>
      <c r="D57" s="1" t="s">
        <v>53</v>
      </c>
      <c r="E57" s="1" t="s">
        <v>37</v>
      </c>
      <c r="F57" s="1" t="s">
        <v>98</v>
      </c>
      <c r="G57" s="1" t="s">
        <v>84</v>
      </c>
      <c r="H57" s="1" t="s">
        <v>102</v>
      </c>
      <c r="I57" s="1">
        <v>3</v>
      </c>
      <c r="J57" s="1" t="s">
        <v>28</v>
      </c>
      <c r="K57" s="1">
        <v>104.740071</v>
      </c>
      <c r="L57" s="1">
        <v>85.94</v>
      </c>
      <c r="M57" s="1">
        <f t="shared" si="2"/>
        <v>9001.3617017399993</v>
      </c>
      <c r="N57" s="1" t="s">
        <v>30</v>
      </c>
      <c r="O57" s="1">
        <v>104.740071</v>
      </c>
      <c r="P57" s="1">
        <v>108.46</v>
      </c>
      <c r="Q57" s="1">
        <f t="shared" si="3"/>
        <v>11360.10810066</v>
      </c>
      <c r="R57" s="1"/>
      <c r="S57" s="1">
        <v>0</v>
      </c>
      <c r="T57" s="1">
        <v>0</v>
      </c>
      <c r="U57" s="1">
        <v>0</v>
      </c>
      <c r="V57" s="1" t="s">
        <v>42</v>
      </c>
      <c r="W57" s="1">
        <v>251.7</v>
      </c>
    </row>
    <row r="58" spans="1:23" x14ac:dyDescent="0.45">
      <c r="A58" s="1">
        <v>57</v>
      </c>
      <c r="B58" s="1" t="s">
        <v>23</v>
      </c>
      <c r="C58" s="1" t="s">
        <v>35</v>
      </c>
      <c r="D58" s="1" t="s">
        <v>53</v>
      </c>
      <c r="E58" s="1" t="s">
        <v>37</v>
      </c>
      <c r="F58" s="1" t="s">
        <v>98</v>
      </c>
      <c r="G58" s="1" t="s">
        <v>84</v>
      </c>
      <c r="H58" s="1" t="s">
        <v>102</v>
      </c>
      <c r="I58" s="1">
        <v>3</v>
      </c>
      <c r="J58" s="1" t="s">
        <v>28</v>
      </c>
      <c r="K58" s="1">
        <v>104.740071</v>
      </c>
      <c r="L58" s="1">
        <v>85.94</v>
      </c>
      <c r="M58" s="1">
        <f t="shared" si="2"/>
        <v>9001.3617017399993</v>
      </c>
      <c r="N58" s="1" t="s">
        <v>32</v>
      </c>
      <c r="O58" s="1">
        <v>104.740071</v>
      </c>
      <c r="P58" s="1">
        <v>108.870003</v>
      </c>
      <c r="Q58" s="1">
        <f t="shared" si="3"/>
        <v>11403.051843990213</v>
      </c>
      <c r="R58" s="1"/>
      <c r="S58" s="1">
        <v>0</v>
      </c>
      <c r="T58" s="1">
        <v>0</v>
      </c>
      <c r="U58" s="1">
        <v>0</v>
      </c>
      <c r="V58" s="1" t="s">
        <v>43</v>
      </c>
      <c r="W58" s="1">
        <v>243.47</v>
      </c>
    </row>
    <row r="59" spans="1:23" x14ac:dyDescent="0.45">
      <c r="A59">
        <v>58</v>
      </c>
      <c r="B59" t="s">
        <v>23</v>
      </c>
      <c r="C59" t="s">
        <v>35</v>
      </c>
      <c r="D59" t="s">
        <v>53</v>
      </c>
      <c r="E59" t="s">
        <v>37</v>
      </c>
      <c r="F59" t="s">
        <v>98</v>
      </c>
      <c r="G59" t="s">
        <v>84</v>
      </c>
      <c r="H59" t="s">
        <v>102</v>
      </c>
      <c r="I59">
        <v>3</v>
      </c>
      <c r="J59" t="s">
        <v>28</v>
      </c>
      <c r="K59">
        <v>104.740071</v>
      </c>
      <c r="L59">
        <v>85.94</v>
      </c>
      <c r="M59">
        <f t="shared" si="2"/>
        <v>9001.3617017399993</v>
      </c>
      <c r="N59" t="s">
        <v>33</v>
      </c>
      <c r="O59">
        <v>104.740071</v>
      </c>
      <c r="P59">
        <v>108.66999800000001</v>
      </c>
      <c r="Q59">
        <f t="shared" si="3"/>
        <v>11382.103306089859</v>
      </c>
      <c r="S59">
        <v>0</v>
      </c>
      <c r="T59">
        <v>0</v>
      </c>
      <c r="U59">
        <v>0</v>
      </c>
      <c r="V59" t="s">
        <v>43</v>
      </c>
      <c r="W59">
        <v>201.12</v>
      </c>
    </row>
    <row r="60" spans="1:23" x14ac:dyDescent="0.45">
      <c r="A60" s="1">
        <v>59</v>
      </c>
      <c r="B60" s="1" t="s">
        <v>23</v>
      </c>
      <c r="C60" s="1" t="s">
        <v>35</v>
      </c>
      <c r="D60" s="1" t="s">
        <v>44</v>
      </c>
      <c r="E60" s="1" t="s">
        <v>37</v>
      </c>
      <c r="F60" s="1" t="s">
        <v>103</v>
      </c>
      <c r="G60" s="1" t="s">
        <v>88</v>
      </c>
      <c r="H60" s="1" t="s">
        <v>104</v>
      </c>
      <c r="I60" s="1">
        <v>1</v>
      </c>
      <c r="J60" s="1" t="s">
        <v>105</v>
      </c>
      <c r="K60" s="1">
        <v>19.671873000000001</v>
      </c>
      <c r="L60" s="1">
        <v>564.62</v>
      </c>
      <c r="M60" s="1">
        <f t="shared" si="2"/>
        <v>11107.132933260002</v>
      </c>
      <c r="N60" s="1" t="s">
        <v>65</v>
      </c>
      <c r="O60" s="1">
        <v>19.671873000000001</v>
      </c>
      <c r="P60" s="1">
        <v>609.919983</v>
      </c>
      <c r="Q60" s="1">
        <f t="shared" si="3"/>
        <v>11998.26844573816</v>
      </c>
      <c r="R60" s="1"/>
      <c r="S60" s="1">
        <v>0</v>
      </c>
      <c r="T60" s="1">
        <v>0</v>
      </c>
      <c r="U60" s="1">
        <v>0</v>
      </c>
      <c r="V60" s="1" t="s">
        <v>106</v>
      </c>
      <c r="W60" s="1">
        <v>21.53</v>
      </c>
    </row>
    <row r="61" spans="1:23" x14ac:dyDescent="0.45">
      <c r="A61" s="1">
        <v>60</v>
      </c>
      <c r="B61" s="1" t="s">
        <v>23</v>
      </c>
      <c r="C61" s="1" t="s">
        <v>35</v>
      </c>
      <c r="D61" s="1" t="s">
        <v>44</v>
      </c>
      <c r="E61" s="1" t="s">
        <v>37</v>
      </c>
      <c r="F61" s="1" t="s">
        <v>103</v>
      </c>
      <c r="G61" s="1" t="s">
        <v>88</v>
      </c>
      <c r="H61" s="1" t="s">
        <v>104</v>
      </c>
      <c r="I61" s="1">
        <v>1</v>
      </c>
      <c r="J61" s="1" t="s">
        <v>105</v>
      </c>
      <c r="K61" s="1">
        <v>19.671873000000001</v>
      </c>
      <c r="L61" s="1">
        <v>564.62</v>
      </c>
      <c r="M61" s="1">
        <f t="shared" si="2"/>
        <v>11107.132933260002</v>
      </c>
      <c r="N61" s="1" t="s">
        <v>30</v>
      </c>
      <c r="O61" s="1">
        <v>19.671873000000001</v>
      </c>
      <c r="P61" s="1">
        <v>611.58000000000004</v>
      </c>
      <c r="Q61" s="1">
        <f t="shared" si="3"/>
        <v>12030.924089340002</v>
      </c>
      <c r="R61" s="1"/>
      <c r="S61" s="1">
        <v>0</v>
      </c>
      <c r="T61" s="1">
        <v>0</v>
      </c>
      <c r="U61" s="1">
        <v>0</v>
      </c>
      <c r="V61" s="1" t="s">
        <v>107</v>
      </c>
      <c r="W61" s="1">
        <v>22</v>
      </c>
    </row>
    <row r="62" spans="1:23" x14ac:dyDescent="0.45">
      <c r="A62" s="1">
        <v>61</v>
      </c>
      <c r="B62" s="1" t="s">
        <v>23</v>
      </c>
      <c r="C62" s="1" t="s">
        <v>35</v>
      </c>
      <c r="D62" s="1" t="s">
        <v>44</v>
      </c>
      <c r="E62" s="1" t="s">
        <v>37</v>
      </c>
      <c r="F62" s="1" t="s">
        <v>103</v>
      </c>
      <c r="G62" s="1" t="s">
        <v>88</v>
      </c>
      <c r="H62" s="1" t="s">
        <v>104</v>
      </c>
      <c r="I62" s="1">
        <v>1</v>
      </c>
      <c r="J62" s="1" t="s">
        <v>105</v>
      </c>
      <c r="K62" s="1">
        <v>19.671873000000001</v>
      </c>
      <c r="L62" s="1">
        <v>564.62</v>
      </c>
      <c r="M62" s="1">
        <f t="shared" si="2"/>
        <v>11107.132933260002</v>
      </c>
      <c r="N62" s="1" t="s">
        <v>32</v>
      </c>
      <c r="O62" s="1">
        <v>19.671873000000001</v>
      </c>
      <c r="P62" s="1">
        <v>613.919983</v>
      </c>
      <c r="Q62" s="1">
        <f t="shared" si="3"/>
        <v>12076.955937738159</v>
      </c>
      <c r="R62" s="1"/>
      <c r="S62" s="1">
        <v>0</v>
      </c>
      <c r="T62" s="1">
        <v>0</v>
      </c>
      <c r="U62" s="1">
        <v>0</v>
      </c>
      <c r="V62" s="1" t="s">
        <v>108</v>
      </c>
      <c r="W62" s="1">
        <v>22.76</v>
      </c>
    </row>
    <row r="63" spans="1:23" x14ac:dyDescent="0.45">
      <c r="A63" s="1">
        <v>62</v>
      </c>
      <c r="B63" s="1" t="s">
        <v>23</v>
      </c>
      <c r="C63" s="1" t="s">
        <v>35</v>
      </c>
      <c r="D63" s="1" t="s">
        <v>44</v>
      </c>
      <c r="E63" s="1" t="s">
        <v>37</v>
      </c>
      <c r="F63" s="1" t="s">
        <v>103</v>
      </c>
      <c r="G63" s="1" t="s">
        <v>88</v>
      </c>
      <c r="H63" s="1" t="s">
        <v>104</v>
      </c>
      <c r="I63" s="1">
        <v>1</v>
      </c>
      <c r="J63" s="1" t="s">
        <v>105</v>
      </c>
      <c r="K63" s="1">
        <v>19.671873000000001</v>
      </c>
      <c r="L63" s="1">
        <v>564.62</v>
      </c>
      <c r="M63" s="1">
        <f t="shared" si="2"/>
        <v>11107.132933260002</v>
      </c>
      <c r="N63" s="1" t="s">
        <v>33</v>
      </c>
      <c r="O63" s="1">
        <v>19.671873000000001</v>
      </c>
      <c r="P63" s="1">
        <v>614.28002900000001</v>
      </c>
      <c r="Q63" s="1">
        <f t="shared" si="3"/>
        <v>12084.038716924319</v>
      </c>
      <c r="R63" s="1"/>
      <c r="S63" s="1">
        <v>0</v>
      </c>
      <c r="T63" s="1">
        <v>0</v>
      </c>
      <c r="U63" s="1">
        <v>0</v>
      </c>
      <c r="V63" s="1" t="s">
        <v>109</v>
      </c>
      <c r="W63" s="1">
        <v>21.69</v>
      </c>
    </row>
    <row r="64" spans="1:23" x14ac:dyDescent="0.45">
      <c r="A64" s="1">
        <v>63</v>
      </c>
      <c r="B64" s="1" t="s">
        <v>23</v>
      </c>
      <c r="C64" s="1" t="s">
        <v>35</v>
      </c>
      <c r="D64" s="1" t="s">
        <v>44</v>
      </c>
      <c r="E64" s="1" t="s">
        <v>37</v>
      </c>
      <c r="F64" s="1" t="s">
        <v>110</v>
      </c>
      <c r="G64" s="1" t="s">
        <v>111</v>
      </c>
      <c r="H64" s="1" t="s">
        <v>112</v>
      </c>
      <c r="I64" s="1">
        <v>1</v>
      </c>
      <c r="J64" s="1" t="s">
        <v>101</v>
      </c>
      <c r="K64" s="1">
        <v>197.044995</v>
      </c>
      <c r="L64" s="1">
        <v>29</v>
      </c>
      <c r="M64" s="1">
        <f t="shared" si="2"/>
        <v>5714.3048550000003</v>
      </c>
      <c r="N64" s="1" t="s">
        <v>29</v>
      </c>
      <c r="O64" s="1">
        <v>197.044995</v>
      </c>
      <c r="P64" s="1">
        <v>35.46</v>
      </c>
      <c r="Q64" s="1">
        <f t="shared" si="3"/>
        <v>6987.2155227000003</v>
      </c>
      <c r="R64" s="1"/>
      <c r="S64" s="1">
        <v>0</v>
      </c>
      <c r="T64" s="1">
        <v>0</v>
      </c>
      <c r="U64" s="1">
        <v>0</v>
      </c>
      <c r="V64" s="1"/>
      <c r="W64" s="1">
        <v>290.38</v>
      </c>
    </row>
    <row r="65" spans="1:23" x14ac:dyDescent="0.45">
      <c r="A65" s="1">
        <v>64</v>
      </c>
      <c r="B65" s="1" t="s">
        <v>23</v>
      </c>
      <c r="C65" s="1" t="s">
        <v>35</v>
      </c>
      <c r="D65" s="1" t="s">
        <v>44</v>
      </c>
      <c r="E65" s="1" t="s">
        <v>37</v>
      </c>
      <c r="F65" s="1" t="s">
        <v>110</v>
      </c>
      <c r="G65" s="1" t="s">
        <v>111</v>
      </c>
      <c r="H65" s="1" t="s">
        <v>112</v>
      </c>
      <c r="I65" s="1">
        <v>1</v>
      </c>
      <c r="J65" s="1" t="s">
        <v>101</v>
      </c>
      <c r="K65" s="1">
        <v>197.044995</v>
      </c>
      <c r="L65" s="1">
        <v>29</v>
      </c>
      <c r="M65" s="1">
        <f t="shared" si="2"/>
        <v>5714.3048550000003</v>
      </c>
      <c r="N65" s="1" t="s">
        <v>30</v>
      </c>
      <c r="O65" s="1">
        <v>220.323194</v>
      </c>
      <c r="P65" s="1">
        <v>35.159999999999997</v>
      </c>
      <c r="Q65" s="1">
        <f t="shared" si="3"/>
        <v>7746.5635010399992</v>
      </c>
      <c r="R65" s="1"/>
      <c r="S65" s="1">
        <v>0</v>
      </c>
      <c r="T65" s="1">
        <v>0</v>
      </c>
      <c r="U65" s="1">
        <v>0</v>
      </c>
      <c r="V65" s="1" t="s">
        <v>113</v>
      </c>
      <c r="W65" s="1">
        <v>267.35000000000002</v>
      </c>
    </row>
    <row r="66" spans="1:23" x14ac:dyDescent="0.45">
      <c r="A66" s="1">
        <v>65</v>
      </c>
      <c r="B66" s="1" t="s">
        <v>23</v>
      </c>
      <c r="C66" s="1" t="s">
        <v>35</v>
      </c>
      <c r="D66" s="1" t="s">
        <v>44</v>
      </c>
      <c r="E66" s="1" t="s">
        <v>37</v>
      </c>
      <c r="F66" s="1" t="s">
        <v>110</v>
      </c>
      <c r="G66" s="1" t="s">
        <v>111</v>
      </c>
      <c r="H66" s="1" t="s">
        <v>112</v>
      </c>
      <c r="I66" s="1">
        <v>1</v>
      </c>
      <c r="J66" s="1" t="s">
        <v>101</v>
      </c>
      <c r="K66" s="1">
        <v>197.044995</v>
      </c>
      <c r="L66" s="1">
        <v>29</v>
      </c>
      <c r="M66" s="1">
        <f t="shared" ref="M66:M97" si="4">K66*L66</f>
        <v>5714.3048550000003</v>
      </c>
      <c r="N66" s="1" t="s">
        <v>32</v>
      </c>
      <c r="O66" s="1">
        <v>220.323194</v>
      </c>
      <c r="P66" s="1">
        <v>35.665000999999997</v>
      </c>
      <c r="Q66" s="1">
        <f t="shared" ref="Q66:Q97" si="5">O66*P66</f>
        <v>7857.8269343331931</v>
      </c>
      <c r="R66" s="1"/>
      <c r="S66" s="1">
        <v>0</v>
      </c>
      <c r="T66" s="1">
        <v>0</v>
      </c>
      <c r="U66" s="1">
        <v>0</v>
      </c>
      <c r="V66" s="1" t="s">
        <v>113</v>
      </c>
      <c r="W66" s="1">
        <v>270.60000000000002</v>
      </c>
    </row>
    <row r="67" spans="1:23" x14ac:dyDescent="0.45">
      <c r="A67">
        <v>66</v>
      </c>
      <c r="B67" t="s">
        <v>23</v>
      </c>
      <c r="C67" t="s">
        <v>35</v>
      </c>
      <c r="D67" t="s">
        <v>44</v>
      </c>
      <c r="E67" t="s">
        <v>37</v>
      </c>
      <c r="F67" t="s">
        <v>110</v>
      </c>
      <c r="G67" t="s">
        <v>111</v>
      </c>
      <c r="H67" t="s">
        <v>112</v>
      </c>
      <c r="I67">
        <v>3</v>
      </c>
      <c r="J67" t="s">
        <v>101</v>
      </c>
      <c r="K67">
        <v>197.044995</v>
      </c>
      <c r="L67">
        <v>29</v>
      </c>
      <c r="M67">
        <f t="shared" si="4"/>
        <v>5714.3048550000003</v>
      </c>
      <c r="N67" t="s">
        <v>33</v>
      </c>
      <c r="O67">
        <v>220.323194</v>
      </c>
      <c r="P67">
        <v>35.854999999999997</v>
      </c>
      <c r="Q67">
        <f t="shared" si="5"/>
        <v>7899.6881208699997</v>
      </c>
      <c r="S67">
        <v>0</v>
      </c>
      <c r="T67">
        <v>0</v>
      </c>
      <c r="U67">
        <v>0</v>
      </c>
      <c r="V67" t="s">
        <v>113</v>
      </c>
      <c r="W67">
        <v>221.23</v>
      </c>
    </row>
    <row r="68" spans="1:23" x14ac:dyDescent="0.45">
      <c r="A68" s="1">
        <v>67</v>
      </c>
      <c r="B68" s="1" t="s">
        <v>34</v>
      </c>
      <c r="C68" s="1" t="s">
        <v>35</v>
      </c>
      <c r="D68" s="1" t="s">
        <v>36</v>
      </c>
      <c r="E68" s="1" t="s">
        <v>114</v>
      </c>
      <c r="F68" s="1" t="s">
        <v>115</v>
      </c>
      <c r="G68" s="1" t="s">
        <v>116</v>
      </c>
      <c r="H68" s="1" t="s">
        <v>117</v>
      </c>
      <c r="I68" s="1">
        <v>4</v>
      </c>
      <c r="J68" s="1" t="s">
        <v>41</v>
      </c>
      <c r="K68" s="1">
        <v>161.21</v>
      </c>
      <c r="L68" s="1">
        <v>37.2744</v>
      </c>
      <c r="M68" s="1">
        <f t="shared" si="4"/>
        <v>6009.0060240000003</v>
      </c>
      <c r="N68" s="1" t="s">
        <v>29</v>
      </c>
      <c r="O68" s="1">
        <v>161.21</v>
      </c>
      <c r="P68" s="1">
        <v>85.47</v>
      </c>
      <c r="Q68" s="1">
        <f t="shared" si="5"/>
        <v>13778.618700000001</v>
      </c>
      <c r="R68" s="1"/>
      <c r="S68" s="1">
        <v>0</v>
      </c>
      <c r="T68" s="1">
        <v>0</v>
      </c>
      <c r="U68" s="1">
        <v>0</v>
      </c>
      <c r="V68" s="1" t="s">
        <v>118</v>
      </c>
      <c r="W68" s="1">
        <v>146.11000000000001</v>
      </c>
    </row>
    <row r="69" spans="1:23" x14ac:dyDescent="0.45">
      <c r="A69" s="1">
        <v>68</v>
      </c>
      <c r="B69" s="1" t="s">
        <v>34</v>
      </c>
      <c r="C69" s="1" t="s">
        <v>35</v>
      </c>
      <c r="D69" s="1" t="s">
        <v>36</v>
      </c>
      <c r="E69" s="1" t="s">
        <v>114</v>
      </c>
      <c r="F69" s="1" t="s">
        <v>115</v>
      </c>
      <c r="G69" s="1" t="s">
        <v>116</v>
      </c>
      <c r="H69" s="1"/>
      <c r="I69" s="1">
        <v>4</v>
      </c>
      <c r="J69" s="1" t="s">
        <v>119</v>
      </c>
      <c r="K69" s="1">
        <v>161.21</v>
      </c>
      <c r="L69" s="1">
        <v>37.2744</v>
      </c>
      <c r="M69" s="1">
        <f t="shared" si="4"/>
        <v>6009.0060240000003</v>
      </c>
      <c r="N69" s="1" t="s">
        <v>30</v>
      </c>
      <c r="O69" s="1">
        <v>161.21</v>
      </c>
      <c r="P69" s="1">
        <v>87.13</v>
      </c>
      <c r="Q69" s="1">
        <f t="shared" si="5"/>
        <v>14046.2273</v>
      </c>
      <c r="R69" s="1"/>
      <c r="S69" s="1">
        <v>0</v>
      </c>
      <c r="T69" s="1">
        <v>0</v>
      </c>
      <c r="U69" s="1">
        <v>0</v>
      </c>
      <c r="V69" s="1" t="s">
        <v>120</v>
      </c>
      <c r="W69" s="1">
        <v>21.5</v>
      </c>
    </row>
    <row r="70" spans="1:23" x14ac:dyDescent="0.45">
      <c r="A70" s="1">
        <v>69</v>
      </c>
      <c r="B70" s="1" t="s">
        <v>34</v>
      </c>
      <c r="C70" s="1" t="s">
        <v>35</v>
      </c>
      <c r="D70" s="1" t="s">
        <v>36</v>
      </c>
      <c r="E70" s="1" t="s">
        <v>114</v>
      </c>
      <c r="F70" s="1" t="s">
        <v>115</v>
      </c>
      <c r="G70" s="1" t="s">
        <v>116</v>
      </c>
      <c r="H70" s="1"/>
      <c r="I70" s="1">
        <v>4</v>
      </c>
      <c r="J70" s="1" t="s">
        <v>119</v>
      </c>
      <c r="K70" s="1">
        <v>161.21</v>
      </c>
      <c r="L70" s="1">
        <v>37.2744</v>
      </c>
      <c r="M70" s="1">
        <f t="shared" si="4"/>
        <v>6009.0060240000003</v>
      </c>
      <c r="N70" s="1" t="s">
        <v>32</v>
      </c>
      <c r="O70" s="1">
        <v>161.21</v>
      </c>
      <c r="P70" s="1">
        <v>85.550201999999999</v>
      </c>
      <c r="Q70" s="1">
        <f t="shared" si="5"/>
        <v>13791.54806442</v>
      </c>
      <c r="R70" s="1"/>
      <c r="S70" s="1">
        <v>0</v>
      </c>
      <c r="T70" s="1">
        <v>0</v>
      </c>
      <c r="U70" s="1">
        <v>0</v>
      </c>
      <c r="V70" s="1" t="s">
        <v>121</v>
      </c>
      <c r="W70" s="1">
        <v>20.8</v>
      </c>
    </row>
    <row r="71" spans="1:23" x14ac:dyDescent="0.45">
      <c r="A71">
        <v>70</v>
      </c>
      <c r="B71" t="s">
        <v>34</v>
      </c>
      <c r="C71" t="s">
        <v>35</v>
      </c>
      <c r="D71" t="s">
        <v>36</v>
      </c>
      <c r="E71" t="s">
        <v>114</v>
      </c>
      <c r="F71" t="s">
        <v>115</v>
      </c>
      <c r="G71" t="s">
        <v>116</v>
      </c>
      <c r="I71">
        <v>4</v>
      </c>
      <c r="J71" t="s">
        <v>119</v>
      </c>
      <c r="K71">
        <v>161.21</v>
      </c>
      <c r="L71">
        <v>37.2744</v>
      </c>
      <c r="M71">
        <f t="shared" si="4"/>
        <v>6009.0060240000003</v>
      </c>
      <c r="N71" t="s">
        <v>33</v>
      </c>
      <c r="O71">
        <v>161.21</v>
      </c>
      <c r="P71">
        <v>90.262082000000007</v>
      </c>
      <c r="Q71">
        <f t="shared" si="5"/>
        <v>14551.150239220002</v>
      </c>
      <c r="S71">
        <v>0</v>
      </c>
      <c r="T71">
        <v>0</v>
      </c>
      <c r="U71">
        <v>0</v>
      </c>
      <c r="V71" t="s">
        <v>122</v>
      </c>
      <c r="W71">
        <v>22.75</v>
      </c>
    </row>
    <row r="72" spans="1:23" x14ac:dyDescent="0.45">
      <c r="A72" s="1">
        <v>71</v>
      </c>
      <c r="B72" s="1" t="s">
        <v>123</v>
      </c>
      <c r="C72" s="1" t="s">
        <v>67</v>
      </c>
      <c r="D72" s="1" t="s">
        <v>68</v>
      </c>
      <c r="E72" s="1" t="s">
        <v>124</v>
      </c>
      <c r="F72" s="1" t="s">
        <v>125</v>
      </c>
      <c r="G72" s="1" t="s">
        <v>126</v>
      </c>
      <c r="H72" s="1" t="s">
        <v>127</v>
      </c>
      <c r="I72" s="1">
        <v>2</v>
      </c>
      <c r="J72" s="1" t="s">
        <v>90</v>
      </c>
      <c r="K72" s="1">
        <v>287.49599999999998</v>
      </c>
      <c r="L72" s="1">
        <v>109.5321</v>
      </c>
      <c r="M72" s="1">
        <f t="shared" si="4"/>
        <v>31490.040621599997</v>
      </c>
      <c r="N72" s="1" t="s">
        <v>29</v>
      </c>
      <c r="O72" s="1">
        <v>287.49599999999998</v>
      </c>
      <c r="P72" s="1">
        <v>119.7617</v>
      </c>
      <c r="Q72" s="1">
        <f t="shared" si="5"/>
        <v>34431.009703199998</v>
      </c>
      <c r="R72" s="1"/>
      <c r="S72" s="1">
        <v>0</v>
      </c>
      <c r="T72" s="1">
        <v>0</v>
      </c>
      <c r="U72" s="1">
        <v>0</v>
      </c>
      <c r="V72" s="1" t="s">
        <v>128</v>
      </c>
      <c r="W72" s="1">
        <v>10.59</v>
      </c>
    </row>
    <row r="73" spans="1:23" x14ac:dyDescent="0.45">
      <c r="A73" s="1">
        <v>72</v>
      </c>
      <c r="B73" s="1" t="s">
        <v>123</v>
      </c>
      <c r="C73" s="1" t="s">
        <v>67</v>
      </c>
      <c r="D73" s="1" t="s">
        <v>68</v>
      </c>
      <c r="E73" s="1" t="s">
        <v>124</v>
      </c>
      <c r="F73" s="1" t="s">
        <v>125</v>
      </c>
      <c r="G73" s="1" t="s">
        <v>126</v>
      </c>
      <c r="H73" s="1" t="s">
        <v>127</v>
      </c>
      <c r="I73" s="1">
        <v>2</v>
      </c>
      <c r="J73" s="1" t="s">
        <v>90</v>
      </c>
      <c r="K73" s="1">
        <v>287.49599999999998</v>
      </c>
      <c r="L73" s="1">
        <v>109.5321</v>
      </c>
      <c r="M73" s="1">
        <f t="shared" si="4"/>
        <v>31490.040621599997</v>
      </c>
      <c r="N73" s="1" t="s">
        <v>30</v>
      </c>
      <c r="O73" s="1">
        <v>287.49599999999998</v>
      </c>
      <c r="P73" s="1">
        <v>120.15940000000001</v>
      </c>
      <c r="Q73" s="1">
        <f t="shared" si="5"/>
        <v>34545.346862400002</v>
      </c>
      <c r="R73" s="1"/>
      <c r="S73" s="1">
        <v>0</v>
      </c>
      <c r="T73" s="1">
        <v>0</v>
      </c>
      <c r="U73" s="1">
        <v>0</v>
      </c>
      <c r="V73" s="1" t="s">
        <v>129</v>
      </c>
      <c r="W73" s="1">
        <v>10.96</v>
      </c>
    </row>
    <row r="74" spans="1:23" x14ac:dyDescent="0.45">
      <c r="A74" s="1">
        <v>73</v>
      </c>
      <c r="B74" s="1" t="s">
        <v>123</v>
      </c>
      <c r="C74" s="1" t="s">
        <v>67</v>
      </c>
      <c r="D74" s="1" t="s">
        <v>68</v>
      </c>
      <c r="E74" s="1" t="s">
        <v>124</v>
      </c>
      <c r="F74" s="1" t="s">
        <v>125</v>
      </c>
      <c r="G74" s="1" t="s">
        <v>126</v>
      </c>
      <c r="H74" s="1" t="s">
        <v>127</v>
      </c>
      <c r="I74" s="1">
        <v>2</v>
      </c>
      <c r="J74" s="1" t="s">
        <v>90</v>
      </c>
      <c r="K74" s="1">
        <v>287.49599999999998</v>
      </c>
      <c r="L74" s="1">
        <v>109.5321</v>
      </c>
      <c r="M74" s="1">
        <f t="shared" si="4"/>
        <v>31490.040621599997</v>
      </c>
      <c r="N74" s="1" t="s">
        <v>32</v>
      </c>
      <c r="O74" s="1">
        <v>287.49599999999998</v>
      </c>
      <c r="P74" s="1">
        <v>119.86900300000001</v>
      </c>
      <c r="Q74" s="1">
        <f t="shared" si="5"/>
        <v>34461.858886488</v>
      </c>
      <c r="R74" s="1"/>
      <c r="S74" s="1">
        <v>0</v>
      </c>
      <c r="T74" s="1">
        <v>0</v>
      </c>
      <c r="U74" s="1">
        <v>0</v>
      </c>
      <c r="V74" s="1" t="s">
        <v>130</v>
      </c>
      <c r="W74" s="1">
        <v>10.6</v>
      </c>
    </row>
    <row r="75" spans="1:23" x14ac:dyDescent="0.45">
      <c r="A75">
        <v>74</v>
      </c>
      <c r="B75" t="s">
        <v>123</v>
      </c>
      <c r="C75" t="s">
        <v>67</v>
      </c>
      <c r="D75" t="s">
        <v>68</v>
      </c>
      <c r="E75" t="s">
        <v>124</v>
      </c>
      <c r="F75" t="s">
        <v>125</v>
      </c>
      <c r="G75" t="s">
        <v>126</v>
      </c>
      <c r="H75" t="s">
        <v>127</v>
      </c>
      <c r="I75">
        <v>2</v>
      </c>
      <c r="J75" t="s">
        <v>90</v>
      </c>
      <c r="K75">
        <v>287.49599999999998</v>
      </c>
      <c r="L75">
        <v>109.5321</v>
      </c>
      <c r="M75">
        <f t="shared" si="4"/>
        <v>31490.040621599997</v>
      </c>
      <c r="N75" t="s">
        <v>33</v>
      </c>
      <c r="O75">
        <v>287.49599999999998</v>
      </c>
      <c r="P75">
        <v>119.86900300000001</v>
      </c>
      <c r="Q75">
        <f t="shared" si="5"/>
        <v>34461.858886488</v>
      </c>
      <c r="S75">
        <v>0</v>
      </c>
      <c r="T75">
        <v>0</v>
      </c>
      <c r="U75">
        <v>0</v>
      </c>
      <c r="V75" t="s">
        <v>130</v>
      </c>
      <c r="W75">
        <v>10.34</v>
      </c>
    </row>
    <row r="76" spans="1:23" x14ac:dyDescent="0.45">
      <c r="A76" s="1">
        <v>75</v>
      </c>
      <c r="B76" s="1" t="s">
        <v>123</v>
      </c>
      <c r="C76" s="1" t="s">
        <v>67</v>
      </c>
      <c r="D76" s="1" t="s">
        <v>131</v>
      </c>
      <c r="E76" s="1" t="s">
        <v>124</v>
      </c>
      <c r="F76" s="1" t="s">
        <v>132</v>
      </c>
      <c r="G76" s="1" t="s">
        <v>133</v>
      </c>
      <c r="H76" s="1" t="s">
        <v>134</v>
      </c>
      <c r="I76" s="1">
        <v>2</v>
      </c>
      <c r="J76" s="1" t="s">
        <v>90</v>
      </c>
      <c r="K76" s="1">
        <v>291.27</v>
      </c>
      <c r="L76" s="1">
        <v>108.1079</v>
      </c>
      <c r="M76" s="1">
        <f t="shared" si="4"/>
        <v>31488.588033</v>
      </c>
      <c r="N76" s="1" t="s">
        <v>29</v>
      </c>
      <c r="O76" s="1">
        <v>291.27</v>
      </c>
      <c r="P76" s="1">
        <v>124.1968</v>
      </c>
      <c r="Q76" s="1">
        <f t="shared" si="5"/>
        <v>36174.801935999996</v>
      </c>
      <c r="R76" s="1"/>
      <c r="S76" s="1">
        <v>0</v>
      </c>
      <c r="T76" s="1">
        <v>0</v>
      </c>
      <c r="U76" s="1">
        <v>0</v>
      </c>
      <c r="V76" s="1" t="s">
        <v>128</v>
      </c>
      <c r="W76" s="1">
        <v>16.87</v>
      </c>
    </row>
    <row r="77" spans="1:23" x14ac:dyDescent="0.45">
      <c r="A77" s="1">
        <v>76</v>
      </c>
      <c r="B77" s="1" t="s">
        <v>123</v>
      </c>
      <c r="C77" s="1" t="s">
        <v>67</v>
      </c>
      <c r="D77" s="1" t="s">
        <v>131</v>
      </c>
      <c r="E77" s="1" t="s">
        <v>124</v>
      </c>
      <c r="F77" s="1" t="s">
        <v>132</v>
      </c>
      <c r="G77" s="1" t="s">
        <v>133</v>
      </c>
      <c r="H77" s="1" t="s">
        <v>134</v>
      </c>
      <c r="I77" s="1">
        <v>2</v>
      </c>
      <c r="J77" s="1" t="s">
        <v>90</v>
      </c>
      <c r="K77" s="1">
        <v>291.27</v>
      </c>
      <c r="L77" s="1">
        <v>108.1079</v>
      </c>
      <c r="M77" s="1">
        <f t="shared" si="4"/>
        <v>31488.588033</v>
      </c>
      <c r="N77" s="1" t="s">
        <v>30</v>
      </c>
      <c r="O77" s="1">
        <v>291.27</v>
      </c>
      <c r="P77" s="1">
        <v>124.197</v>
      </c>
      <c r="Q77" s="1">
        <f t="shared" si="5"/>
        <v>36174.860189999999</v>
      </c>
      <c r="R77" s="1"/>
      <c r="S77" s="1">
        <v>0</v>
      </c>
      <c r="T77" s="1">
        <v>0</v>
      </c>
      <c r="U77" s="1">
        <v>0</v>
      </c>
      <c r="V77" s="1" t="s">
        <v>130</v>
      </c>
      <c r="W77" s="1">
        <v>16.82</v>
      </c>
    </row>
    <row r="78" spans="1:23" x14ac:dyDescent="0.45">
      <c r="A78" s="1">
        <v>77</v>
      </c>
      <c r="B78" s="1" t="s">
        <v>123</v>
      </c>
      <c r="C78" s="1" t="s">
        <v>67</v>
      </c>
      <c r="D78" s="1" t="s">
        <v>131</v>
      </c>
      <c r="E78" s="1" t="s">
        <v>124</v>
      </c>
      <c r="F78" s="1" t="s">
        <v>132</v>
      </c>
      <c r="G78" s="1" t="s">
        <v>133</v>
      </c>
      <c r="H78" s="1" t="s">
        <v>134</v>
      </c>
      <c r="I78" s="1">
        <v>2</v>
      </c>
      <c r="J78" s="1" t="s">
        <v>90</v>
      </c>
      <c r="K78" s="1">
        <v>291.27</v>
      </c>
      <c r="L78" s="1">
        <v>108.1079</v>
      </c>
      <c r="M78" s="1">
        <f t="shared" si="4"/>
        <v>31488.588033</v>
      </c>
      <c r="N78" s="1" t="s">
        <v>32</v>
      </c>
      <c r="O78" s="1">
        <v>291.27</v>
      </c>
      <c r="P78" s="1">
        <v>124.278099</v>
      </c>
      <c r="Q78" s="1">
        <f t="shared" si="5"/>
        <v>36198.481895729994</v>
      </c>
      <c r="R78" s="1"/>
      <c r="S78" s="1">
        <v>0</v>
      </c>
      <c r="T78" s="1">
        <v>0</v>
      </c>
      <c r="U78" s="1">
        <v>0</v>
      </c>
      <c r="V78" s="1" t="s">
        <v>130</v>
      </c>
      <c r="W78" s="1">
        <v>16.8</v>
      </c>
    </row>
    <row r="79" spans="1:23" x14ac:dyDescent="0.45">
      <c r="A79">
        <v>78</v>
      </c>
      <c r="B79" t="s">
        <v>123</v>
      </c>
      <c r="C79" t="s">
        <v>67</v>
      </c>
      <c r="D79" t="s">
        <v>131</v>
      </c>
      <c r="E79" t="s">
        <v>124</v>
      </c>
      <c r="F79" t="s">
        <v>132</v>
      </c>
      <c r="G79" t="s">
        <v>133</v>
      </c>
      <c r="H79" t="s">
        <v>134</v>
      </c>
      <c r="I79">
        <v>2</v>
      </c>
      <c r="J79" t="s">
        <v>90</v>
      </c>
      <c r="K79">
        <v>291.27</v>
      </c>
      <c r="L79">
        <v>108.1079</v>
      </c>
      <c r="M79">
        <f t="shared" si="4"/>
        <v>31488.588033</v>
      </c>
      <c r="N79" t="s">
        <v>33</v>
      </c>
      <c r="O79">
        <v>291.27</v>
      </c>
      <c r="P79">
        <v>123.79300000000001</v>
      </c>
      <c r="Q79">
        <f t="shared" si="5"/>
        <v>36057.187109999999</v>
      </c>
      <c r="S79">
        <v>0</v>
      </c>
      <c r="T79">
        <v>0</v>
      </c>
      <c r="U79">
        <v>0</v>
      </c>
      <c r="V79" t="s">
        <v>130</v>
      </c>
      <c r="W79">
        <v>15.9</v>
      </c>
    </row>
    <row r="80" spans="1:23" x14ac:dyDescent="0.45">
      <c r="A80">
        <v>79</v>
      </c>
      <c r="B80" t="s">
        <v>135</v>
      </c>
      <c r="C80" t="s">
        <v>136</v>
      </c>
      <c r="F80" t="s">
        <v>137</v>
      </c>
      <c r="I80">
        <v>1</v>
      </c>
      <c r="J80" t="s">
        <v>138</v>
      </c>
      <c r="K80">
        <v>1</v>
      </c>
      <c r="L80">
        <v>45000</v>
      </c>
      <c r="M80">
        <f t="shared" si="4"/>
        <v>45000</v>
      </c>
      <c r="N80" t="s">
        <v>139</v>
      </c>
      <c r="O80">
        <v>1</v>
      </c>
      <c r="P80">
        <v>250000</v>
      </c>
      <c r="Q80">
        <f t="shared" si="5"/>
        <v>250000</v>
      </c>
      <c r="S80">
        <v>0</v>
      </c>
      <c r="T80">
        <v>0</v>
      </c>
      <c r="U80">
        <v>0</v>
      </c>
      <c r="W80">
        <v>21.39</v>
      </c>
    </row>
    <row r="81" spans="1:23" x14ac:dyDescent="0.45">
      <c r="A81">
        <v>80</v>
      </c>
      <c r="B81" t="s">
        <v>135</v>
      </c>
      <c r="C81" t="s">
        <v>140</v>
      </c>
      <c r="F81" t="s">
        <v>141</v>
      </c>
      <c r="I81">
        <v>1</v>
      </c>
      <c r="J81" t="s">
        <v>142</v>
      </c>
      <c r="K81">
        <v>1</v>
      </c>
      <c r="L81">
        <v>27000</v>
      </c>
      <c r="M81">
        <f t="shared" si="4"/>
        <v>27000</v>
      </c>
      <c r="N81" t="s">
        <v>143</v>
      </c>
      <c r="O81">
        <v>1</v>
      </c>
      <c r="P81">
        <v>35000</v>
      </c>
      <c r="Q81">
        <f t="shared" si="5"/>
        <v>35000</v>
      </c>
      <c r="S81">
        <v>0</v>
      </c>
      <c r="T81">
        <v>0</v>
      </c>
      <c r="U81">
        <v>0</v>
      </c>
      <c r="W81">
        <v>1.58</v>
      </c>
    </row>
    <row r="82" spans="1:23" x14ac:dyDescent="0.45">
      <c r="A82" s="1">
        <v>81</v>
      </c>
      <c r="B82" s="1" t="s">
        <v>144</v>
      </c>
      <c r="C82" s="1" t="s">
        <v>140</v>
      </c>
      <c r="D82" s="1"/>
      <c r="E82" s="1"/>
      <c r="F82" s="1" t="s">
        <v>145</v>
      </c>
      <c r="G82" s="1"/>
      <c r="H82" s="1"/>
      <c r="I82" s="1">
        <v>1</v>
      </c>
      <c r="J82" s="1" t="s">
        <v>146</v>
      </c>
      <c r="K82" s="1">
        <v>1</v>
      </c>
      <c r="L82" s="1">
        <v>89864</v>
      </c>
      <c r="M82" s="1">
        <f t="shared" si="4"/>
        <v>89864</v>
      </c>
      <c r="N82" s="1" t="s">
        <v>147</v>
      </c>
      <c r="O82" s="1">
        <v>1</v>
      </c>
      <c r="P82" s="1">
        <v>180000</v>
      </c>
      <c r="Q82" s="1">
        <f t="shared" si="5"/>
        <v>180000</v>
      </c>
      <c r="R82" s="1"/>
      <c r="S82" s="1">
        <v>0</v>
      </c>
      <c r="T82" s="1">
        <v>0</v>
      </c>
      <c r="U82" s="1">
        <v>0</v>
      </c>
      <c r="V82" s="1"/>
      <c r="W82" s="1">
        <v>8.84</v>
      </c>
    </row>
    <row r="83" spans="1:23" x14ac:dyDescent="0.45">
      <c r="A83">
        <v>82</v>
      </c>
      <c r="B83" t="s">
        <v>144</v>
      </c>
      <c r="C83" t="s">
        <v>140</v>
      </c>
      <c r="F83" t="s">
        <v>145</v>
      </c>
      <c r="I83">
        <v>1</v>
      </c>
      <c r="J83" t="s">
        <v>146</v>
      </c>
      <c r="K83">
        <v>1</v>
      </c>
      <c r="L83">
        <v>89864</v>
      </c>
      <c r="M83">
        <f t="shared" si="4"/>
        <v>89864</v>
      </c>
      <c r="N83" t="s">
        <v>101</v>
      </c>
      <c r="O83">
        <v>1</v>
      </c>
      <c r="P83">
        <v>250000</v>
      </c>
      <c r="Q83">
        <f t="shared" si="5"/>
        <v>250000</v>
      </c>
      <c r="S83">
        <v>0</v>
      </c>
      <c r="T83">
        <v>0</v>
      </c>
      <c r="U83">
        <v>0</v>
      </c>
      <c r="W83">
        <v>6.22</v>
      </c>
    </row>
    <row r="84" spans="1:23" x14ac:dyDescent="0.45">
      <c r="A84" s="1">
        <v>83</v>
      </c>
      <c r="B84" s="1" t="s">
        <v>144</v>
      </c>
      <c r="C84" s="1" t="s">
        <v>140</v>
      </c>
      <c r="D84" s="1"/>
      <c r="E84" s="1"/>
      <c r="F84" s="1" t="s">
        <v>148</v>
      </c>
      <c r="G84" s="1"/>
      <c r="H84" s="1"/>
      <c r="I84" s="1">
        <v>1</v>
      </c>
      <c r="J84" s="1" t="s">
        <v>149</v>
      </c>
      <c r="K84" s="1">
        <v>1</v>
      </c>
      <c r="L84" s="1">
        <v>54590</v>
      </c>
      <c r="M84" s="1">
        <f t="shared" si="4"/>
        <v>54590</v>
      </c>
      <c r="N84" s="1" t="s">
        <v>150</v>
      </c>
      <c r="O84" s="1">
        <v>1</v>
      </c>
      <c r="P84" s="1">
        <v>89864</v>
      </c>
      <c r="Q84" s="1">
        <f t="shared" si="5"/>
        <v>89864</v>
      </c>
      <c r="R84" s="1"/>
      <c r="S84" s="1">
        <v>0</v>
      </c>
      <c r="T84" s="1">
        <v>0</v>
      </c>
      <c r="U84" s="1">
        <v>0</v>
      </c>
      <c r="V84" s="1"/>
      <c r="W84" s="1">
        <v>7.28</v>
      </c>
    </row>
    <row r="85" spans="1:23" x14ac:dyDescent="0.45">
      <c r="A85" s="1">
        <v>84</v>
      </c>
      <c r="B85" s="1" t="s">
        <v>144</v>
      </c>
      <c r="C85" s="1" t="s">
        <v>140</v>
      </c>
      <c r="D85" s="1"/>
      <c r="E85" s="1"/>
      <c r="F85" s="1" t="s">
        <v>148</v>
      </c>
      <c r="G85" s="1"/>
      <c r="H85" s="1"/>
      <c r="I85" s="1">
        <v>1</v>
      </c>
      <c r="J85" s="1" t="s">
        <v>149</v>
      </c>
      <c r="K85" s="1">
        <v>1</v>
      </c>
      <c r="L85" s="1">
        <v>54590</v>
      </c>
      <c r="M85" s="1">
        <f t="shared" si="4"/>
        <v>54590</v>
      </c>
      <c r="N85" s="1" t="s">
        <v>147</v>
      </c>
      <c r="O85" s="1">
        <v>1</v>
      </c>
      <c r="P85" s="1">
        <v>180000</v>
      </c>
      <c r="Q85" s="1">
        <f t="shared" si="5"/>
        <v>180000</v>
      </c>
      <c r="R85" s="1"/>
      <c r="S85" s="1">
        <v>0</v>
      </c>
      <c r="T85" s="1">
        <v>0</v>
      </c>
      <c r="U85" s="1">
        <v>0</v>
      </c>
      <c r="V85" s="1"/>
      <c r="W85" s="1">
        <v>11.87</v>
      </c>
    </row>
    <row r="86" spans="1:23" x14ac:dyDescent="0.45">
      <c r="A86">
        <v>85</v>
      </c>
      <c r="B86" t="s">
        <v>144</v>
      </c>
      <c r="C86" t="s">
        <v>140</v>
      </c>
      <c r="F86" t="s">
        <v>148</v>
      </c>
      <c r="I86">
        <v>1</v>
      </c>
      <c r="J86" t="s">
        <v>149</v>
      </c>
      <c r="K86">
        <v>1</v>
      </c>
      <c r="L86">
        <v>54590</v>
      </c>
      <c r="M86">
        <f t="shared" si="4"/>
        <v>54590</v>
      </c>
      <c r="N86" t="s">
        <v>101</v>
      </c>
      <c r="O86">
        <v>1</v>
      </c>
      <c r="P86">
        <v>250000</v>
      </c>
      <c r="Q86">
        <f t="shared" si="5"/>
        <v>250000</v>
      </c>
      <c r="S86">
        <v>0</v>
      </c>
      <c r="T86">
        <v>0</v>
      </c>
      <c r="U86">
        <v>0</v>
      </c>
      <c r="W86">
        <v>9.76</v>
      </c>
    </row>
    <row r="87" spans="1:23" x14ac:dyDescent="0.45">
      <c r="A87" s="1">
        <v>86</v>
      </c>
      <c r="B87" s="1" t="s">
        <v>144</v>
      </c>
      <c r="C87" s="1" t="s">
        <v>140</v>
      </c>
      <c r="D87" s="1"/>
      <c r="E87" s="1"/>
      <c r="F87" s="1" t="s">
        <v>151</v>
      </c>
      <c r="G87" s="1"/>
      <c r="H87" s="1"/>
      <c r="I87" s="1">
        <v>1</v>
      </c>
      <c r="J87" s="1" t="s">
        <v>149</v>
      </c>
      <c r="K87" s="1">
        <v>1</v>
      </c>
      <c r="L87" s="1">
        <v>54590</v>
      </c>
      <c r="M87" s="1">
        <f t="shared" si="4"/>
        <v>54590</v>
      </c>
      <c r="N87" s="1" t="s">
        <v>146</v>
      </c>
      <c r="O87" s="1">
        <v>1</v>
      </c>
      <c r="P87" s="1">
        <v>89864</v>
      </c>
      <c r="Q87" s="1">
        <f t="shared" si="5"/>
        <v>89864</v>
      </c>
      <c r="R87" s="1"/>
      <c r="S87" s="1">
        <v>0</v>
      </c>
      <c r="T87" s="1">
        <v>0</v>
      </c>
      <c r="U87" s="1">
        <v>0</v>
      </c>
      <c r="V87" s="1"/>
      <c r="W87" s="1">
        <v>8.07</v>
      </c>
    </row>
    <row r="88" spans="1:23" x14ac:dyDescent="0.45">
      <c r="A88" s="1">
        <v>87</v>
      </c>
      <c r="B88" s="1" t="s">
        <v>144</v>
      </c>
      <c r="C88" s="1" t="s">
        <v>140</v>
      </c>
      <c r="D88" s="1"/>
      <c r="E88" s="1"/>
      <c r="F88" s="1" t="s">
        <v>151</v>
      </c>
      <c r="G88" s="1"/>
      <c r="H88" s="1"/>
      <c r="I88" s="1">
        <v>1</v>
      </c>
      <c r="J88" s="1" t="s">
        <v>149</v>
      </c>
      <c r="K88" s="1">
        <v>1</v>
      </c>
      <c r="L88" s="1">
        <v>54590</v>
      </c>
      <c r="M88" s="1">
        <f t="shared" si="4"/>
        <v>54590</v>
      </c>
      <c r="N88" s="1" t="s">
        <v>147</v>
      </c>
      <c r="O88" s="1">
        <v>1</v>
      </c>
      <c r="P88" s="1">
        <v>180000</v>
      </c>
      <c r="Q88" s="1">
        <f t="shared" si="5"/>
        <v>180000</v>
      </c>
      <c r="R88" s="1"/>
      <c r="S88" s="1">
        <v>0</v>
      </c>
      <c r="T88" s="1">
        <v>0</v>
      </c>
      <c r="U88" s="1">
        <v>0</v>
      </c>
      <c r="V88" s="1"/>
      <c r="W88" s="1">
        <v>11.87</v>
      </c>
    </row>
    <row r="89" spans="1:23" x14ac:dyDescent="0.45">
      <c r="A89">
        <v>88</v>
      </c>
      <c r="B89" t="s">
        <v>144</v>
      </c>
      <c r="C89" t="s">
        <v>140</v>
      </c>
      <c r="F89" t="s">
        <v>151</v>
      </c>
      <c r="I89">
        <v>1</v>
      </c>
      <c r="J89" t="s">
        <v>149</v>
      </c>
      <c r="K89">
        <v>1</v>
      </c>
      <c r="L89">
        <v>54590</v>
      </c>
      <c r="M89">
        <f t="shared" si="4"/>
        <v>54590</v>
      </c>
      <c r="N89" t="s">
        <v>101</v>
      </c>
      <c r="O89">
        <v>1</v>
      </c>
      <c r="P89">
        <v>250000</v>
      </c>
      <c r="Q89">
        <f t="shared" si="5"/>
        <v>250000</v>
      </c>
      <c r="S89">
        <v>0</v>
      </c>
      <c r="T89">
        <v>0</v>
      </c>
      <c r="U89">
        <v>0</v>
      </c>
      <c r="W89">
        <v>9.76</v>
      </c>
    </row>
    <row r="90" spans="1:23" x14ac:dyDescent="0.45">
      <c r="A90">
        <v>89</v>
      </c>
      <c r="B90" t="s">
        <v>152</v>
      </c>
      <c r="C90" t="s">
        <v>140</v>
      </c>
      <c r="F90" t="s">
        <v>153</v>
      </c>
      <c r="I90">
        <v>1</v>
      </c>
      <c r="J90" t="s">
        <v>154</v>
      </c>
      <c r="K90">
        <v>1</v>
      </c>
      <c r="L90">
        <v>234113</v>
      </c>
      <c r="M90">
        <f t="shared" si="4"/>
        <v>234113</v>
      </c>
      <c r="N90" t="s">
        <v>101</v>
      </c>
      <c r="O90">
        <v>1</v>
      </c>
      <c r="P90">
        <v>300000</v>
      </c>
      <c r="Q90">
        <f t="shared" si="5"/>
        <v>300000</v>
      </c>
      <c r="S90">
        <v>0</v>
      </c>
      <c r="T90">
        <v>0</v>
      </c>
      <c r="U90">
        <v>0</v>
      </c>
      <c r="W90">
        <v>2.79</v>
      </c>
    </row>
    <row r="91" spans="1:23" x14ac:dyDescent="0.45">
      <c r="A91">
        <v>90</v>
      </c>
      <c r="B91" t="s">
        <v>152</v>
      </c>
      <c r="C91" t="s">
        <v>140</v>
      </c>
      <c r="F91" t="s">
        <v>155</v>
      </c>
      <c r="I91">
        <v>1</v>
      </c>
      <c r="J91" t="s">
        <v>154</v>
      </c>
      <c r="K91">
        <v>1</v>
      </c>
      <c r="L91">
        <v>234113</v>
      </c>
      <c r="M91">
        <f t="shared" si="4"/>
        <v>234113</v>
      </c>
      <c r="N91" t="s">
        <v>101</v>
      </c>
      <c r="O91">
        <v>1</v>
      </c>
      <c r="P91">
        <v>300000</v>
      </c>
      <c r="Q91">
        <f t="shared" si="5"/>
        <v>300000</v>
      </c>
      <c r="S91">
        <v>0</v>
      </c>
      <c r="T91">
        <v>0</v>
      </c>
      <c r="U91">
        <v>0</v>
      </c>
      <c r="W91">
        <v>2.79</v>
      </c>
    </row>
    <row r="92" spans="1:23" x14ac:dyDescent="0.45">
      <c r="A92">
        <v>91</v>
      </c>
      <c r="B92" t="s">
        <v>152</v>
      </c>
      <c r="C92" t="s">
        <v>140</v>
      </c>
      <c r="F92" t="s">
        <v>156</v>
      </c>
      <c r="I92">
        <v>1</v>
      </c>
      <c r="J92" t="s">
        <v>154</v>
      </c>
      <c r="K92">
        <v>1</v>
      </c>
      <c r="L92">
        <v>234113</v>
      </c>
      <c r="M92">
        <f t="shared" si="4"/>
        <v>234113</v>
      </c>
      <c r="N92" t="s">
        <v>101</v>
      </c>
      <c r="O92">
        <v>1</v>
      </c>
      <c r="P92">
        <v>300000</v>
      </c>
      <c r="Q92">
        <f t="shared" si="5"/>
        <v>300000</v>
      </c>
      <c r="S92">
        <v>0</v>
      </c>
      <c r="T92">
        <v>0</v>
      </c>
      <c r="U92">
        <v>0</v>
      </c>
      <c r="W92">
        <v>2.79</v>
      </c>
    </row>
    <row r="93" spans="1:23" x14ac:dyDescent="0.45">
      <c r="A93">
        <v>92</v>
      </c>
      <c r="B93" t="s">
        <v>152</v>
      </c>
      <c r="C93" t="s">
        <v>140</v>
      </c>
      <c r="F93" t="s">
        <v>157</v>
      </c>
      <c r="I93">
        <v>1</v>
      </c>
      <c r="J93" t="s">
        <v>158</v>
      </c>
      <c r="K93">
        <v>1</v>
      </c>
      <c r="L93">
        <v>290375</v>
      </c>
      <c r="M93">
        <f t="shared" si="4"/>
        <v>290375</v>
      </c>
      <c r="N93" t="s">
        <v>101</v>
      </c>
      <c r="O93">
        <v>1</v>
      </c>
      <c r="P93">
        <v>35000</v>
      </c>
      <c r="Q93">
        <f t="shared" si="5"/>
        <v>35000</v>
      </c>
      <c r="S93">
        <v>0</v>
      </c>
      <c r="T93">
        <v>0</v>
      </c>
      <c r="U93">
        <v>0</v>
      </c>
      <c r="W93">
        <v>-8.5500000000000007</v>
      </c>
    </row>
    <row r="94" spans="1:23" x14ac:dyDescent="0.45">
      <c r="A94">
        <v>93</v>
      </c>
      <c r="B94" t="s">
        <v>152</v>
      </c>
      <c r="C94" t="s">
        <v>140</v>
      </c>
      <c r="F94" t="s">
        <v>159</v>
      </c>
      <c r="I94">
        <v>1</v>
      </c>
      <c r="J94" t="s">
        <v>160</v>
      </c>
      <c r="K94">
        <v>1</v>
      </c>
      <c r="L94">
        <v>234113</v>
      </c>
      <c r="M94">
        <f t="shared" si="4"/>
        <v>234113</v>
      </c>
      <c r="N94" t="s">
        <v>101</v>
      </c>
      <c r="O94">
        <v>1</v>
      </c>
      <c r="P94">
        <v>300000</v>
      </c>
      <c r="Q94">
        <f t="shared" si="5"/>
        <v>300000</v>
      </c>
      <c r="S94">
        <v>0</v>
      </c>
      <c r="T94">
        <v>0</v>
      </c>
      <c r="U94">
        <v>0</v>
      </c>
      <c r="W94">
        <v>2.7</v>
      </c>
    </row>
    <row r="95" spans="1:23" x14ac:dyDescent="0.45">
      <c r="A95">
        <v>94</v>
      </c>
      <c r="B95" t="s">
        <v>161</v>
      </c>
      <c r="C95" t="s">
        <v>162</v>
      </c>
      <c r="F95" t="s">
        <v>163</v>
      </c>
      <c r="I95">
        <v>1</v>
      </c>
      <c r="J95" t="s">
        <v>164</v>
      </c>
      <c r="K95">
        <v>1</v>
      </c>
      <c r="L95">
        <v>1000</v>
      </c>
      <c r="M95">
        <f t="shared" si="4"/>
        <v>1000</v>
      </c>
      <c r="N95" t="s">
        <v>165</v>
      </c>
      <c r="O95">
        <v>1</v>
      </c>
      <c r="P95">
        <v>16299.56</v>
      </c>
      <c r="Q95">
        <f t="shared" si="5"/>
        <v>16299.56</v>
      </c>
      <c r="S95">
        <v>0</v>
      </c>
      <c r="T95">
        <v>0</v>
      </c>
      <c r="U95">
        <v>0</v>
      </c>
      <c r="V95" t="s">
        <v>166</v>
      </c>
      <c r="W95">
        <v>148.44</v>
      </c>
    </row>
    <row r="96" spans="1:23" x14ac:dyDescent="0.45">
      <c r="A96">
        <v>95</v>
      </c>
      <c r="B96" t="s">
        <v>167</v>
      </c>
      <c r="C96" t="s">
        <v>162</v>
      </c>
      <c r="F96" t="s">
        <v>163</v>
      </c>
      <c r="I96">
        <v>1</v>
      </c>
      <c r="J96" t="s">
        <v>90</v>
      </c>
      <c r="K96">
        <v>1</v>
      </c>
      <c r="L96">
        <v>2500.06</v>
      </c>
      <c r="M96">
        <f t="shared" si="4"/>
        <v>2500.06</v>
      </c>
      <c r="N96" t="s">
        <v>30</v>
      </c>
      <c r="O96">
        <v>1</v>
      </c>
      <c r="P96">
        <v>5269.23</v>
      </c>
      <c r="Q96">
        <f t="shared" si="5"/>
        <v>5269.23</v>
      </c>
      <c r="S96">
        <v>0</v>
      </c>
      <c r="T96">
        <v>0</v>
      </c>
      <c r="U96">
        <v>0</v>
      </c>
      <c r="V96" t="s">
        <v>166</v>
      </c>
      <c r="W96">
        <v>125.17</v>
      </c>
    </row>
    <row r="97" spans="1:23" x14ac:dyDescent="0.45">
      <c r="A97">
        <v>96</v>
      </c>
      <c r="B97" t="s">
        <v>168</v>
      </c>
      <c r="C97" t="s">
        <v>162</v>
      </c>
      <c r="F97" t="s">
        <v>163</v>
      </c>
      <c r="I97">
        <v>1</v>
      </c>
      <c r="J97" t="s">
        <v>90</v>
      </c>
      <c r="K97">
        <v>1</v>
      </c>
      <c r="L97">
        <v>46291.4</v>
      </c>
      <c r="M97">
        <f t="shared" si="4"/>
        <v>46291.4</v>
      </c>
      <c r="N97" t="s">
        <v>30</v>
      </c>
      <c r="O97">
        <v>1</v>
      </c>
      <c r="P97">
        <v>21420.61</v>
      </c>
      <c r="Q97">
        <f t="shared" si="5"/>
        <v>21420.61</v>
      </c>
      <c r="S97">
        <v>0</v>
      </c>
      <c r="T97">
        <v>0</v>
      </c>
      <c r="U97">
        <v>0</v>
      </c>
      <c r="V97" t="s">
        <v>166</v>
      </c>
      <c r="W97">
        <v>-60.71</v>
      </c>
    </row>
    <row r="98" spans="1:23" x14ac:dyDescent="0.45">
      <c r="A98" s="1">
        <v>97</v>
      </c>
      <c r="B98" s="1" t="s">
        <v>169</v>
      </c>
      <c r="C98" s="1" t="s">
        <v>162</v>
      </c>
      <c r="D98" s="1"/>
      <c r="E98" s="1"/>
      <c r="F98" s="1" t="s">
        <v>163</v>
      </c>
      <c r="G98" s="1"/>
      <c r="H98" s="1"/>
      <c r="I98" s="1">
        <v>1</v>
      </c>
      <c r="J98" s="1" t="s">
        <v>28</v>
      </c>
      <c r="K98" s="1">
        <v>1</v>
      </c>
      <c r="L98" s="1">
        <v>1000</v>
      </c>
      <c r="M98" s="1">
        <f t="shared" ref="M98:M129" si="6">K98*L98</f>
        <v>1000</v>
      </c>
      <c r="N98" s="1" t="s">
        <v>30</v>
      </c>
      <c r="O98" s="1">
        <v>1</v>
      </c>
      <c r="P98" s="1">
        <v>27258.74</v>
      </c>
      <c r="Q98" s="1">
        <f t="shared" ref="Q98:Q129" si="7">O98*P98</f>
        <v>27258.74</v>
      </c>
      <c r="R98" s="1"/>
      <c r="S98" s="1">
        <v>0</v>
      </c>
      <c r="T98" s="1">
        <v>0</v>
      </c>
      <c r="U98" s="1">
        <v>0</v>
      </c>
      <c r="V98" s="1"/>
      <c r="W98" s="1">
        <v>25222.21</v>
      </c>
    </row>
    <row r="99" spans="1:23" x14ac:dyDescent="0.45">
      <c r="A99">
        <v>98</v>
      </c>
      <c r="B99" t="s">
        <v>170</v>
      </c>
      <c r="C99" t="s">
        <v>171</v>
      </c>
      <c r="F99" t="s">
        <v>172</v>
      </c>
      <c r="I99">
        <v>1</v>
      </c>
      <c r="J99" t="s">
        <v>173</v>
      </c>
      <c r="K99">
        <v>1</v>
      </c>
      <c r="L99">
        <v>39100</v>
      </c>
      <c r="M99">
        <f t="shared" si="6"/>
        <v>39100</v>
      </c>
      <c r="N99" t="s">
        <v>174</v>
      </c>
      <c r="O99">
        <v>1</v>
      </c>
      <c r="P99">
        <v>40544.18</v>
      </c>
      <c r="Q99">
        <f t="shared" si="7"/>
        <v>40544.18</v>
      </c>
      <c r="S99">
        <v>0</v>
      </c>
      <c r="T99">
        <v>0</v>
      </c>
      <c r="U99">
        <v>0</v>
      </c>
      <c r="W99">
        <v>0.68</v>
      </c>
    </row>
    <row r="100" spans="1:23" x14ac:dyDescent="0.45">
      <c r="A100">
        <v>99</v>
      </c>
      <c r="B100" t="s">
        <v>170</v>
      </c>
      <c r="C100" t="s">
        <v>171</v>
      </c>
      <c r="F100" t="s">
        <v>175</v>
      </c>
      <c r="I100">
        <v>1</v>
      </c>
      <c r="J100" t="s">
        <v>176</v>
      </c>
      <c r="K100">
        <v>1</v>
      </c>
      <c r="L100">
        <v>39100</v>
      </c>
      <c r="M100">
        <f t="shared" si="6"/>
        <v>39100</v>
      </c>
      <c r="N100" t="s">
        <v>174</v>
      </c>
      <c r="O100">
        <v>1</v>
      </c>
      <c r="P100">
        <v>40544.18</v>
      </c>
      <c r="Q100">
        <f t="shared" si="7"/>
        <v>40544.18</v>
      </c>
      <c r="S100">
        <v>0</v>
      </c>
      <c r="T100">
        <v>0</v>
      </c>
      <c r="U100">
        <v>0</v>
      </c>
      <c r="W100">
        <v>0.78</v>
      </c>
    </row>
    <row r="101" spans="1:23" x14ac:dyDescent="0.45">
      <c r="A101">
        <v>100</v>
      </c>
      <c r="B101" t="s">
        <v>170</v>
      </c>
      <c r="C101" t="s">
        <v>171</v>
      </c>
      <c r="F101" t="s">
        <v>177</v>
      </c>
      <c r="I101">
        <v>1</v>
      </c>
      <c r="J101" t="s">
        <v>173</v>
      </c>
      <c r="K101">
        <v>1</v>
      </c>
      <c r="L101">
        <v>61954</v>
      </c>
      <c r="M101">
        <f t="shared" si="6"/>
        <v>61954</v>
      </c>
      <c r="N101" t="s">
        <v>174</v>
      </c>
      <c r="O101">
        <v>1</v>
      </c>
      <c r="P101">
        <v>64254.42</v>
      </c>
      <c r="Q101">
        <f t="shared" si="7"/>
        <v>64254.42</v>
      </c>
      <c r="S101">
        <v>0</v>
      </c>
      <c r="T101">
        <v>0</v>
      </c>
      <c r="U101">
        <v>0</v>
      </c>
      <c r="W101">
        <v>0.68</v>
      </c>
    </row>
    <row r="102" spans="1:23" x14ac:dyDescent="0.45">
      <c r="A102">
        <v>101</v>
      </c>
      <c r="B102" t="s">
        <v>170</v>
      </c>
      <c r="C102" t="s">
        <v>171</v>
      </c>
      <c r="F102" t="s">
        <v>178</v>
      </c>
      <c r="I102">
        <v>1</v>
      </c>
      <c r="J102" t="s">
        <v>173</v>
      </c>
      <c r="K102">
        <v>1</v>
      </c>
      <c r="L102">
        <v>61954</v>
      </c>
      <c r="M102">
        <f t="shared" si="6"/>
        <v>61954</v>
      </c>
      <c r="N102" t="s">
        <v>174</v>
      </c>
      <c r="O102">
        <v>1</v>
      </c>
      <c r="P102">
        <v>64254.42</v>
      </c>
      <c r="Q102">
        <f t="shared" si="7"/>
        <v>64254.42</v>
      </c>
      <c r="S102">
        <v>0</v>
      </c>
      <c r="T102">
        <v>0</v>
      </c>
      <c r="U102">
        <v>0</v>
      </c>
      <c r="W102">
        <v>0.68</v>
      </c>
    </row>
    <row r="103" spans="1:23" x14ac:dyDescent="0.45">
      <c r="A103">
        <v>102</v>
      </c>
      <c r="B103" t="s">
        <v>170</v>
      </c>
      <c r="C103" t="s">
        <v>171</v>
      </c>
      <c r="F103" t="s">
        <v>179</v>
      </c>
      <c r="I103">
        <v>1</v>
      </c>
      <c r="J103" t="s">
        <v>176</v>
      </c>
      <c r="K103">
        <v>1</v>
      </c>
      <c r="L103">
        <v>94446</v>
      </c>
      <c r="M103">
        <f t="shared" si="6"/>
        <v>94446</v>
      </c>
      <c r="N103" t="s">
        <v>174</v>
      </c>
      <c r="O103">
        <v>1</v>
      </c>
      <c r="P103">
        <v>97946.76</v>
      </c>
      <c r="Q103">
        <f t="shared" si="7"/>
        <v>97946.76</v>
      </c>
      <c r="S103">
        <v>0</v>
      </c>
      <c r="T103">
        <v>0</v>
      </c>
      <c r="U103">
        <v>0</v>
      </c>
      <c r="W103">
        <v>0.78</v>
      </c>
    </row>
    <row r="104" spans="1:23" x14ac:dyDescent="0.45">
      <c r="A104">
        <v>103</v>
      </c>
      <c r="B104" t="s">
        <v>170</v>
      </c>
      <c r="C104" t="s">
        <v>171</v>
      </c>
      <c r="F104" t="s">
        <v>180</v>
      </c>
      <c r="I104">
        <v>1</v>
      </c>
      <c r="J104" t="s">
        <v>176</v>
      </c>
      <c r="K104">
        <v>1</v>
      </c>
      <c r="L104">
        <v>94446</v>
      </c>
      <c r="M104">
        <f t="shared" si="6"/>
        <v>94446</v>
      </c>
      <c r="N104" t="s">
        <v>174</v>
      </c>
      <c r="O104">
        <v>1</v>
      </c>
      <c r="P104">
        <v>97946.76</v>
      </c>
      <c r="Q104">
        <f t="shared" si="7"/>
        <v>97946.76</v>
      </c>
      <c r="S104">
        <v>0</v>
      </c>
      <c r="T104">
        <v>0</v>
      </c>
      <c r="U104">
        <v>0</v>
      </c>
      <c r="W104">
        <v>0.78</v>
      </c>
    </row>
    <row r="105" spans="1:23" x14ac:dyDescent="0.45">
      <c r="A105">
        <v>104</v>
      </c>
      <c r="B105" t="s">
        <v>34</v>
      </c>
      <c r="C105" t="s">
        <v>35</v>
      </c>
      <c r="D105" t="s">
        <v>36</v>
      </c>
      <c r="E105" t="s">
        <v>114</v>
      </c>
      <c r="F105" t="s">
        <v>181</v>
      </c>
      <c r="G105" t="s">
        <v>182</v>
      </c>
      <c r="I105">
        <v>2</v>
      </c>
      <c r="J105" t="s">
        <v>183</v>
      </c>
      <c r="K105">
        <v>0</v>
      </c>
      <c r="L105">
        <v>122.82758</v>
      </c>
      <c r="M105">
        <f t="shared" si="6"/>
        <v>0</v>
      </c>
      <c r="N105" t="s">
        <v>184</v>
      </c>
      <c r="O105">
        <v>236.97</v>
      </c>
      <c r="P105">
        <v>142.71</v>
      </c>
      <c r="Q105">
        <f t="shared" si="7"/>
        <v>33817.988700000002</v>
      </c>
      <c r="R105" t="s">
        <v>185</v>
      </c>
      <c r="S105">
        <v>300</v>
      </c>
      <c r="T105">
        <v>0</v>
      </c>
      <c r="U105">
        <v>0</v>
      </c>
      <c r="V105" t="s">
        <v>186</v>
      </c>
      <c r="W105">
        <v>3.15</v>
      </c>
    </row>
    <row r="106" spans="1:23" x14ac:dyDescent="0.45">
      <c r="A106">
        <v>105</v>
      </c>
      <c r="B106" t="s">
        <v>34</v>
      </c>
      <c r="C106" t="s">
        <v>35</v>
      </c>
      <c r="D106" t="s">
        <v>36</v>
      </c>
      <c r="E106" t="s">
        <v>114</v>
      </c>
      <c r="F106" t="s">
        <v>187</v>
      </c>
      <c r="G106" t="s">
        <v>188</v>
      </c>
      <c r="I106">
        <v>2</v>
      </c>
      <c r="J106" t="s">
        <v>189</v>
      </c>
      <c r="K106">
        <v>1</v>
      </c>
      <c r="L106">
        <v>259.99140999999997</v>
      </c>
      <c r="M106">
        <f t="shared" si="6"/>
        <v>259.99140999999997</v>
      </c>
      <c r="N106" t="s">
        <v>190</v>
      </c>
      <c r="O106">
        <v>93.39</v>
      </c>
      <c r="P106">
        <v>326.33</v>
      </c>
      <c r="Q106">
        <f t="shared" si="7"/>
        <v>30475.958699999999</v>
      </c>
      <c r="R106" t="s">
        <v>185</v>
      </c>
      <c r="S106">
        <v>300</v>
      </c>
      <c r="T106">
        <v>0</v>
      </c>
      <c r="U106">
        <v>0</v>
      </c>
      <c r="V106" t="s">
        <v>186</v>
      </c>
      <c r="W106">
        <v>3.29</v>
      </c>
    </row>
    <row r="107" spans="1:23" x14ac:dyDescent="0.45">
      <c r="A107" s="1">
        <v>106</v>
      </c>
      <c r="B107" s="1" t="s">
        <v>123</v>
      </c>
      <c r="C107" s="1" t="s">
        <v>67</v>
      </c>
      <c r="D107" s="1" t="s">
        <v>68</v>
      </c>
      <c r="E107" s="1" t="s">
        <v>191</v>
      </c>
      <c r="F107" s="1" t="s">
        <v>192</v>
      </c>
      <c r="G107" s="1" t="s">
        <v>193</v>
      </c>
      <c r="H107" s="1"/>
      <c r="I107" s="1">
        <v>1</v>
      </c>
      <c r="J107" s="1" t="s">
        <v>90</v>
      </c>
      <c r="K107" s="1">
        <v>21</v>
      </c>
      <c r="L107" s="1">
        <v>99.518199999999993</v>
      </c>
      <c r="M107" s="1">
        <f t="shared" si="6"/>
        <v>2089.8822</v>
      </c>
      <c r="N107" s="1" t="s">
        <v>65</v>
      </c>
      <c r="O107" s="1">
        <v>21</v>
      </c>
      <c r="P107" s="1">
        <v>99.518199999999993</v>
      </c>
      <c r="Q107" s="1">
        <f t="shared" si="7"/>
        <v>2089.8822</v>
      </c>
      <c r="R107" s="1"/>
      <c r="S107" s="1">
        <v>0</v>
      </c>
      <c r="T107" s="1">
        <v>0</v>
      </c>
      <c r="U107" s="1">
        <v>0</v>
      </c>
      <c r="V107" s="1" t="s">
        <v>128</v>
      </c>
      <c r="W107" s="1">
        <v>0</v>
      </c>
    </row>
    <row r="108" spans="1:23" x14ac:dyDescent="0.45">
      <c r="A108" s="1">
        <v>107</v>
      </c>
      <c r="B108" s="1" t="s">
        <v>123</v>
      </c>
      <c r="C108" s="1" t="s">
        <v>67</v>
      </c>
      <c r="D108" s="1" t="s">
        <v>68</v>
      </c>
      <c r="E108" s="1" t="s">
        <v>191</v>
      </c>
      <c r="F108" s="1" t="s">
        <v>192</v>
      </c>
      <c r="G108" s="1" t="s">
        <v>193</v>
      </c>
      <c r="H108" s="1"/>
      <c r="I108" s="1">
        <v>1</v>
      </c>
      <c r="J108" s="1" t="s">
        <v>90</v>
      </c>
      <c r="K108" s="1">
        <v>21</v>
      </c>
      <c r="L108" s="1">
        <v>99.518199999999993</v>
      </c>
      <c r="M108" s="1">
        <f t="shared" si="6"/>
        <v>2089.8822</v>
      </c>
      <c r="N108" s="1" t="s">
        <v>29</v>
      </c>
      <c r="O108" s="1">
        <v>0</v>
      </c>
      <c r="P108" s="1">
        <v>99.518199999999993</v>
      </c>
      <c r="Q108" s="1">
        <f t="shared" si="7"/>
        <v>0</v>
      </c>
      <c r="R108" s="1"/>
      <c r="S108" s="1">
        <v>0</v>
      </c>
      <c r="T108" s="1">
        <v>0</v>
      </c>
      <c r="U108" s="1">
        <v>0</v>
      </c>
      <c r="V108" s="1" t="s">
        <v>128</v>
      </c>
      <c r="W108" s="1">
        <v>0</v>
      </c>
    </row>
    <row r="109" spans="1:23" x14ac:dyDescent="0.45">
      <c r="A109" s="1">
        <v>108</v>
      </c>
      <c r="B109" s="1" t="s">
        <v>123</v>
      </c>
      <c r="C109" s="1" t="s">
        <v>67</v>
      </c>
      <c r="D109" s="1" t="s">
        <v>68</v>
      </c>
      <c r="E109" s="1" t="s">
        <v>191</v>
      </c>
      <c r="F109" s="1" t="s">
        <v>192</v>
      </c>
      <c r="G109" s="1" t="s">
        <v>193</v>
      </c>
      <c r="H109" s="1" t="s">
        <v>193</v>
      </c>
      <c r="I109" s="1">
        <v>1</v>
      </c>
      <c r="J109" s="1" t="s">
        <v>90</v>
      </c>
      <c r="K109" s="1">
        <v>21</v>
      </c>
      <c r="L109" s="1">
        <v>99.518199999999993</v>
      </c>
      <c r="M109" s="1">
        <f t="shared" si="6"/>
        <v>2089.8822</v>
      </c>
      <c r="N109" s="1" t="s">
        <v>32</v>
      </c>
      <c r="O109" s="1">
        <v>21</v>
      </c>
      <c r="P109" s="1">
        <v>100.01300000000001</v>
      </c>
      <c r="Q109" s="1">
        <f t="shared" si="7"/>
        <v>2100.2730000000001</v>
      </c>
      <c r="R109" s="1"/>
      <c r="S109" s="1">
        <v>0</v>
      </c>
      <c r="T109" s="1">
        <v>0</v>
      </c>
      <c r="U109" s="1">
        <v>0</v>
      </c>
      <c r="V109" s="1" t="s">
        <v>130</v>
      </c>
      <c r="W109" s="1">
        <v>0.56000000000000005</v>
      </c>
    </row>
    <row r="110" spans="1:23" x14ac:dyDescent="0.45">
      <c r="A110">
        <v>109</v>
      </c>
      <c r="B110" t="s">
        <v>123</v>
      </c>
      <c r="C110" t="s">
        <v>67</v>
      </c>
      <c r="D110" t="s">
        <v>68</v>
      </c>
      <c r="E110" t="s">
        <v>191</v>
      </c>
      <c r="F110" t="s">
        <v>192</v>
      </c>
      <c r="G110" t="s">
        <v>193</v>
      </c>
      <c r="H110" t="s">
        <v>193</v>
      </c>
      <c r="I110">
        <v>1</v>
      </c>
      <c r="J110" t="s">
        <v>90</v>
      </c>
      <c r="K110">
        <v>21</v>
      </c>
      <c r="L110">
        <v>99.518199999999993</v>
      </c>
      <c r="M110">
        <f t="shared" si="6"/>
        <v>2089.8822</v>
      </c>
      <c r="N110" t="s">
        <v>33</v>
      </c>
      <c r="O110">
        <v>21</v>
      </c>
      <c r="P110">
        <v>100.01300000000001</v>
      </c>
      <c r="Q110">
        <f t="shared" si="7"/>
        <v>2100.2730000000001</v>
      </c>
      <c r="S110">
        <v>0</v>
      </c>
      <c r="T110">
        <v>0</v>
      </c>
      <c r="U110">
        <v>0</v>
      </c>
      <c r="V110" t="s">
        <v>130</v>
      </c>
      <c r="W110">
        <v>0.54</v>
      </c>
    </row>
    <row r="111" spans="1:23" x14ac:dyDescent="0.45">
      <c r="A111">
        <v>110</v>
      </c>
      <c r="B111" t="s">
        <v>23</v>
      </c>
      <c r="C111" t="s">
        <v>35</v>
      </c>
      <c r="D111" t="s">
        <v>44</v>
      </c>
      <c r="E111" t="s">
        <v>37</v>
      </c>
      <c r="F111" t="s">
        <v>103</v>
      </c>
      <c r="G111" t="s">
        <v>88</v>
      </c>
      <c r="H111" t="s">
        <v>104</v>
      </c>
      <c r="I111">
        <v>3</v>
      </c>
      <c r="J111" t="s">
        <v>105</v>
      </c>
      <c r="K111">
        <v>19.671873000000001</v>
      </c>
      <c r="L111">
        <v>564.62</v>
      </c>
      <c r="M111">
        <f t="shared" si="6"/>
        <v>11107.132933260002</v>
      </c>
      <c r="N111" t="s">
        <v>194</v>
      </c>
      <c r="O111">
        <v>51.671872999999998</v>
      </c>
      <c r="P111">
        <v>612.02</v>
      </c>
      <c r="Q111">
        <f t="shared" si="7"/>
        <v>31624.219713459999</v>
      </c>
      <c r="S111">
        <v>0</v>
      </c>
      <c r="T111">
        <v>0</v>
      </c>
      <c r="U111">
        <v>0</v>
      </c>
      <c r="V111" t="s">
        <v>109</v>
      </c>
      <c r="W111">
        <v>20.29</v>
      </c>
    </row>
    <row r="112" spans="1:23" x14ac:dyDescent="0.45">
      <c r="A112">
        <v>111</v>
      </c>
      <c r="B112" t="s">
        <v>169</v>
      </c>
      <c r="C112" t="s">
        <v>162</v>
      </c>
      <c r="F112" t="s">
        <v>163</v>
      </c>
      <c r="I112">
        <v>1</v>
      </c>
      <c r="J112" t="s">
        <v>28</v>
      </c>
      <c r="K112">
        <v>1</v>
      </c>
      <c r="L112">
        <v>1000</v>
      </c>
      <c r="M112">
        <f t="shared" si="6"/>
        <v>1000</v>
      </c>
      <c r="N112" t="s">
        <v>194</v>
      </c>
      <c r="O112">
        <v>1</v>
      </c>
      <c r="P112">
        <v>6366.44</v>
      </c>
      <c r="Q112">
        <f t="shared" si="7"/>
        <v>6366.44</v>
      </c>
      <c r="S112">
        <v>0</v>
      </c>
      <c r="T112">
        <v>0</v>
      </c>
      <c r="U112">
        <v>0</v>
      </c>
      <c r="W112">
        <v>3840.69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0"/>
  <sheetViews>
    <sheetView tabSelected="1" workbookViewId="0">
      <selection activeCell="D5" sqref="D5"/>
    </sheetView>
  </sheetViews>
  <sheetFormatPr defaultRowHeight="14.25" x14ac:dyDescent="0.45"/>
  <cols>
    <col min="1" max="1" width="30.06640625" bestFit="1" customWidth="1"/>
    <col min="2" max="2" width="36.796875" bestFit="1" customWidth="1"/>
    <col min="3" max="3" width="30" customWidth="1"/>
  </cols>
  <sheetData>
    <row r="1" spans="1:3" x14ac:dyDescent="0.45">
      <c r="A1" s="3" t="s">
        <v>195</v>
      </c>
      <c r="B1" s="3" t="s">
        <v>196</v>
      </c>
      <c r="C1" s="3" t="s">
        <v>197</v>
      </c>
    </row>
    <row r="2" spans="1:3" x14ac:dyDescent="0.45">
      <c r="A2" t="s">
        <v>35</v>
      </c>
      <c r="B2" t="s">
        <v>36</v>
      </c>
      <c r="C2" t="s">
        <v>37</v>
      </c>
    </row>
    <row r="3" spans="1:3" x14ac:dyDescent="0.45">
      <c r="A3" t="s">
        <v>35</v>
      </c>
      <c r="B3" t="s">
        <v>36</v>
      </c>
      <c r="C3" t="s">
        <v>114</v>
      </c>
    </row>
    <row r="4" spans="1:3" x14ac:dyDescent="0.45">
      <c r="A4" t="s">
        <v>35</v>
      </c>
      <c r="B4" t="s">
        <v>36</v>
      </c>
      <c r="C4" t="s">
        <v>198</v>
      </c>
    </row>
    <row r="5" spans="1:3" x14ac:dyDescent="0.45">
      <c r="A5" t="s">
        <v>35</v>
      </c>
      <c r="B5" t="s">
        <v>36</v>
      </c>
      <c r="C5" t="s">
        <v>199</v>
      </c>
    </row>
    <row r="6" spans="1:3" x14ac:dyDescent="0.45">
      <c r="A6" t="s">
        <v>35</v>
      </c>
      <c r="B6" t="s">
        <v>36</v>
      </c>
      <c r="C6" t="s">
        <v>200</v>
      </c>
    </row>
    <row r="7" spans="1:3" x14ac:dyDescent="0.45">
      <c r="A7" t="s">
        <v>35</v>
      </c>
      <c r="B7" t="s">
        <v>36</v>
      </c>
      <c r="C7" t="s">
        <v>201</v>
      </c>
    </row>
    <row r="9" spans="1:3" x14ac:dyDescent="0.45">
      <c r="A9" t="s">
        <v>35</v>
      </c>
      <c r="B9" t="s">
        <v>61</v>
      </c>
      <c r="C9" t="s">
        <v>37</v>
      </c>
    </row>
    <row r="10" spans="1:3" x14ac:dyDescent="0.45">
      <c r="A10" t="s">
        <v>35</v>
      </c>
      <c r="B10" t="s">
        <v>61</v>
      </c>
      <c r="C10" t="s">
        <v>114</v>
      </c>
    </row>
    <row r="11" spans="1:3" x14ac:dyDescent="0.45">
      <c r="A11" t="s">
        <v>35</v>
      </c>
      <c r="B11" t="s">
        <v>61</v>
      </c>
      <c r="C11" t="s">
        <v>198</v>
      </c>
    </row>
    <row r="12" spans="1:3" x14ac:dyDescent="0.45">
      <c r="A12" t="s">
        <v>35</v>
      </c>
      <c r="B12" t="s">
        <v>61</v>
      </c>
      <c r="C12" t="s">
        <v>199</v>
      </c>
    </row>
    <row r="13" spans="1:3" x14ac:dyDescent="0.45">
      <c r="A13" t="s">
        <v>35</v>
      </c>
      <c r="B13" t="s">
        <v>61</v>
      </c>
      <c r="C13" t="s">
        <v>200</v>
      </c>
    </row>
    <row r="14" spans="1:3" x14ac:dyDescent="0.45">
      <c r="A14" t="s">
        <v>35</v>
      </c>
      <c r="B14" t="s">
        <v>61</v>
      </c>
      <c r="C14" t="s">
        <v>201</v>
      </c>
    </row>
    <row r="16" spans="1:3" x14ac:dyDescent="0.45">
      <c r="A16" t="s">
        <v>35</v>
      </c>
      <c r="B16" t="s">
        <v>53</v>
      </c>
      <c r="C16" t="s">
        <v>37</v>
      </c>
    </row>
    <row r="17" spans="1:3" x14ac:dyDescent="0.45">
      <c r="A17" t="s">
        <v>35</v>
      </c>
      <c r="B17" t="s">
        <v>53</v>
      </c>
      <c r="C17" t="s">
        <v>114</v>
      </c>
    </row>
    <row r="18" spans="1:3" x14ac:dyDescent="0.45">
      <c r="A18" t="s">
        <v>35</v>
      </c>
      <c r="B18" t="s">
        <v>53</v>
      </c>
      <c r="C18" t="s">
        <v>198</v>
      </c>
    </row>
    <row r="19" spans="1:3" x14ac:dyDescent="0.45">
      <c r="A19" t="s">
        <v>35</v>
      </c>
      <c r="B19" t="s">
        <v>53</v>
      </c>
      <c r="C19" t="s">
        <v>199</v>
      </c>
    </row>
    <row r="20" spans="1:3" x14ac:dyDescent="0.45">
      <c r="A20" t="s">
        <v>35</v>
      </c>
      <c r="B20" t="s">
        <v>53</v>
      </c>
      <c r="C20" t="s">
        <v>200</v>
      </c>
    </row>
    <row r="21" spans="1:3" x14ac:dyDescent="0.45">
      <c r="A21" t="s">
        <v>35</v>
      </c>
      <c r="B21" t="s">
        <v>53</v>
      </c>
      <c r="C21" t="s">
        <v>201</v>
      </c>
    </row>
    <row r="23" spans="1:3" x14ac:dyDescent="0.45">
      <c r="A23" t="s">
        <v>67</v>
      </c>
      <c r="B23" t="s">
        <v>202</v>
      </c>
      <c r="C23" t="s">
        <v>69</v>
      </c>
    </row>
    <row r="24" spans="1:3" x14ac:dyDescent="0.45">
      <c r="A24" t="s">
        <v>67</v>
      </c>
      <c r="B24" t="s">
        <v>202</v>
      </c>
      <c r="C24" t="s">
        <v>124</v>
      </c>
    </row>
    <row r="25" spans="1:3" x14ac:dyDescent="0.45">
      <c r="A25" t="s">
        <v>67</v>
      </c>
      <c r="B25" t="s">
        <v>202</v>
      </c>
      <c r="C25" t="s">
        <v>191</v>
      </c>
    </row>
    <row r="26" spans="1:3" x14ac:dyDescent="0.45">
      <c r="A26" t="s">
        <v>67</v>
      </c>
      <c r="B26" t="s">
        <v>202</v>
      </c>
      <c r="C26" t="s">
        <v>203</v>
      </c>
    </row>
    <row r="27" spans="1:3" x14ac:dyDescent="0.45">
      <c r="A27" t="s">
        <v>67</v>
      </c>
      <c r="B27" t="s">
        <v>202</v>
      </c>
      <c r="C27" t="s">
        <v>204</v>
      </c>
    </row>
    <row r="28" spans="1:3" x14ac:dyDescent="0.45">
      <c r="A28" t="s">
        <v>67</v>
      </c>
      <c r="B28" t="s">
        <v>202</v>
      </c>
      <c r="C28" t="s">
        <v>205</v>
      </c>
    </row>
    <row r="30" spans="1:3" x14ac:dyDescent="0.45">
      <c r="A30" t="s">
        <v>206</v>
      </c>
      <c r="B30" t="s">
        <v>207</v>
      </c>
      <c r="C30" t="s">
        <v>208</v>
      </c>
    </row>
    <row r="31" spans="1:3" x14ac:dyDescent="0.45">
      <c r="A31" t="s">
        <v>206</v>
      </c>
      <c r="B31" t="s">
        <v>207</v>
      </c>
      <c r="C31" t="s">
        <v>209</v>
      </c>
    </row>
    <row r="32" spans="1:3" x14ac:dyDescent="0.45">
      <c r="A32" t="s">
        <v>206</v>
      </c>
      <c r="B32" t="s">
        <v>207</v>
      </c>
      <c r="C32" t="s">
        <v>210</v>
      </c>
    </row>
    <row r="33" spans="1:3" x14ac:dyDescent="0.45">
      <c r="A33" t="s">
        <v>206</v>
      </c>
      <c r="B33" t="s">
        <v>207</v>
      </c>
      <c r="C33" t="s">
        <v>211</v>
      </c>
    </row>
    <row r="34" spans="1:3" x14ac:dyDescent="0.45">
      <c r="A34" t="s">
        <v>206</v>
      </c>
      <c r="B34" t="s">
        <v>207</v>
      </c>
      <c r="C34" t="s">
        <v>212</v>
      </c>
    </row>
    <row r="35" spans="1:3" x14ac:dyDescent="0.45">
      <c r="A35" t="s">
        <v>206</v>
      </c>
      <c r="B35" t="s">
        <v>207</v>
      </c>
      <c r="C35" t="s">
        <v>213</v>
      </c>
    </row>
    <row r="37" spans="1:3" x14ac:dyDescent="0.45">
      <c r="A37" t="s">
        <v>136</v>
      </c>
      <c r="B37" t="s">
        <v>214</v>
      </c>
      <c r="C37" t="s">
        <v>215</v>
      </c>
    </row>
    <row r="38" spans="1:3" x14ac:dyDescent="0.45">
      <c r="A38" t="s">
        <v>136</v>
      </c>
      <c r="B38" t="s">
        <v>214</v>
      </c>
      <c r="C38" t="s">
        <v>216</v>
      </c>
    </row>
    <row r="39" spans="1:3" x14ac:dyDescent="0.45">
      <c r="A39" t="s">
        <v>136</v>
      </c>
      <c r="B39" t="s">
        <v>214</v>
      </c>
      <c r="C39" t="s">
        <v>217</v>
      </c>
    </row>
    <row r="40" spans="1:3" x14ac:dyDescent="0.45">
      <c r="A40" t="s">
        <v>136</v>
      </c>
      <c r="B40" t="s">
        <v>214</v>
      </c>
      <c r="C40" t="s">
        <v>214</v>
      </c>
    </row>
    <row r="41" spans="1:3" x14ac:dyDescent="0.45">
      <c r="A41" t="s">
        <v>136</v>
      </c>
      <c r="B41" t="s">
        <v>214</v>
      </c>
      <c r="C41" t="s">
        <v>218</v>
      </c>
    </row>
    <row r="42" spans="1:3" x14ac:dyDescent="0.45">
      <c r="A42" t="s">
        <v>136</v>
      </c>
      <c r="B42" t="s">
        <v>214</v>
      </c>
      <c r="C42" t="s">
        <v>219</v>
      </c>
    </row>
    <row r="44" spans="1:3" x14ac:dyDescent="0.45">
      <c r="A44" t="s">
        <v>136</v>
      </c>
      <c r="B44" t="s">
        <v>220</v>
      </c>
      <c r="C44" t="s">
        <v>215</v>
      </c>
    </row>
    <row r="45" spans="1:3" x14ac:dyDescent="0.45">
      <c r="A45" t="s">
        <v>136</v>
      </c>
      <c r="B45" t="s">
        <v>220</v>
      </c>
      <c r="C45" t="s">
        <v>216</v>
      </c>
    </row>
    <row r="46" spans="1:3" x14ac:dyDescent="0.45">
      <c r="A46" t="s">
        <v>136</v>
      </c>
      <c r="B46" t="s">
        <v>220</v>
      </c>
      <c r="C46" t="s">
        <v>217</v>
      </c>
    </row>
    <row r="47" spans="1:3" x14ac:dyDescent="0.45">
      <c r="A47" t="s">
        <v>136</v>
      </c>
      <c r="B47" t="s">
        <v>220</v>
      </c>
      <c r="C47" t="s">
        <v>214</v>
      </c>
    </row>
    <row r="48" spans="1:3" x14ac:dyDescent="0.45">
      <c r="A48" t="s">
        <v>136</v>
      </c>
      <c r="B48" t="s">
        <v>220</v>
      </c>
      <c r="C48" t="s">
        <v>218</v>
      </c>
    </row>
    <row r="49" spans="1:3" x14ac:dyDescent="0.45">
      <c r="A49" t="s">
        <v>136</v>
      </c>
      <c r="B49" t="s">
        <v>220</v>
      </c>
      <c r="C49" t="s">
        <v>219</v>
      </c>
    </row>
    <row r="51" spans="1:3" x14ac:dyDescent="0.45">
      <c r="A51" t="s">
        <v>136</v>
      </c>
      <c r="B51" t="s">
        <v>221</v>
      </c>
      <c r="C51" t="s">
        <v>215</v>
      </c>
    </row>
    <row r="52" spans="1:3" x14ac:dyDescent="0.45">
      <c r="A52" t="s">
        <v>136</v>
      </c>
      <c r="B52" t="s">
        <v>221</v>
      </c>
      <c r="C52" t="s">
        <v>216</v>
      </c>
    </row>
    <row r="53" spans="1:3" x14ac:dyDescent="0.45">
      <c r="A53" t="s">
        <v>136</v>
      </c>
      <c r="B53" t="s">
        <v>221</v>
      </c>
      <c r="C53" t="s">
        <v>217</v>
      </c>
    </row>
    <row r="54" spans="1:3" x14ac:dyDescent="0.45">
      <c r="A54" t="s">
        <v>136</v>
      </c>
      <c r="B54" t="s">
        <v>221</v>
      </c>
      <c r="C54" t="s">
        <v>214</v>
      </c>
    </row>
    <row r="55" spans="1:3" x14ac:dyDescent="0.45">
      <c r="A55" t="s">
        <v>136</v>
      </c>
      <c r="B55" t="s">
        <v>221</v>
      </c>
      <c r="C55" t="s">
        <v>218</v>
      </c>
    </row>
    <row r="56" spans="1:3" x14ac:dyDescent="0.45">
      <c r="A56" t="s">
        <v>136</v>
      </c>
      <c r="B56" t="s">
        <v>221</v>
      </c>
      <c r="C56" t="s">
        <v>219</v>
      </c>
    </row>
    <row r="58" spans="1:3" x14ac:dyDescent="0.45">
      <c r="A58" t="s">
        <v>24</v>
      </c>
      <c r="B58" t="s">
        <v>222</v>
      </c>
      <c r="C58" t="s">
        <v>223</v>
      </c>
    </row>
    <row r="59" spans="1:3" x14ac:dyDescent="0.45">
      <c r="A59" t="s">
        <v>24</v>
      </c>
      <c r="B59" t="s">
        <v>222</v>
      </c>
      <c r="C59" t="s">
        <v>224</v>
      </c>
    </row>
    <row r="60" spans="1:3" x14ac:dyDescent="0.45">
      <c r="A60" t="s">
        <v>24</v>
      </c>
      <c r="B60" t="s">
        <v>222</v>
      </c>
      <c r="C60" t="s">
        <v>225</v>
      </c>
    </row>
    <row r="61" spans="1:3" x14ac:dyDescent="0.45">
      <c r="A61" t="s">
        <v>24</v>
      </c>
      <c r="B61" t="s">
        <v>222</v>
      </c>
      <c r="C61" t="s">
        <v>226</v>
      </c>
    </row>
    <row r="62" spans="1:3" x14ac:dyDescent="0.45">
      <c r="A62" t="s">
        <v>24</v>
      </c>
      <c r="B62" t="s">
        <v>222</v>
      </c>
      <c r="C62" t="s">
        <v>26</v>
      </c>
    </row>
    <row r="63" spans="1:3" x14ac:dyDescent="0.45">
      <c r="A63" t="s">
        <v>24</v>
      </c>
      <c r="B63" t="s">
        <v>222</v>
      </c>
      <c r="C63" t="s">
        <v>227</v>
      </c>
    </row>
    <row r="65" spans="1:3" x14ac:dyDescent="0.45">
      <c r="A65" t="s">
        <v>24</v>
      </c>
      <c r="B65" t="s">
        <v>228</v>
      </c>
      <c r="C65" t="s">
        <v>223</v>
      </c>
    </row>
    <row r="66" spans="1:3" x14ac:dyDescent="0.45">
      <c r="A66" t="s">
        <v>24</v>
      </c>
      <c r="B66" t="s">
        <v>228</v>
      </c>
      <c r="C66" t="s">
        <v>224</v>
      </c>
    </row>
    <row r="67" spans="1:3" x14ac:dyDescent="0.45">
      <c r="A67" t="s">
        <v>24</v>
      </c>
      <c r="B67" t="s">
        <v>228</v>
      </c>
      <c r="C67" t="s">
        <v>225</v>
      </c>
    </row>
    <row r="68" spans="1:3" x14ac:dyDescent="0.45">
      <c r="A68" t="s">
        <v>24</v>
      </c>
      <c r="B68" t="s">
        <v>228</v>
      </c>
      <c r="C68" t="s">
        <v>226</v>
      </c>
    </row>
    <row r="69" spans="1:3" x14ac:dyDescent="0.45">
      <c r="A69" t="s">
        <v>24</v>
      </c>
      <c r="B69" t="s">
        <v>228</v>
      </c>
      <c r="C69" t="s">
        <v>26</v>
      </c>
    </row>
    <row r="70" spans="1:3" x14ac:dyDescent="0.45">
      <c r="A70" t="s">
        <v>24</v>
      </c>
      <c r="B70" t="s">
        <v>228</v>
      </c>
      <c r="C70" t="s">
        <v>227</v>
      </c>
    </row>
    <row r="72" spans="1:3" x14ac:dyDescent="0.45">
      <c r="A72" t="s">
        <v>24</v>
      </c>
      <c r="B72" t="s">
        <v>229</v>
      </c>
      <c r="C72" t="s">
        <v>223</v>
      </c>
    </row>
    <row r="73" spans="1:3" x14ac:dyDescent="0.45">
      <c r="A73" t="s">
        <v>24</v>
      </c>
      <c r="B73" t="s">
        <v>229</v>
      </c>
      <c r="C73" t="s">
        <v>224</v>
      </c>
    </row>
    <row r="74" spans="1:3" x14ac:dyDescent="0.45">
      <c r="A74" t="s">
        <v>24</v>
      </c>
      <c r="B74" t="s">
        <v>229</v>
      </c>
      <c r="C74" t="s">
        <v>225</v>
      </c>
    </row>
    <row r="75" spans="1:3" x14ac:dyDescent="0.45">
      <c r="A75" t="s">
        <v>24</v>
      </c>
      <c r="B75" t="s">
        <v>229</v>
      </c>
      <c r="C75" t="s">
        <v>226</v>
      </c>
    </row>
    <row r="76" spans="1:3" x14ac:dyDescent="0.45">
      <c r="A76" t="s">
        <v>24</v>
      </c>
      <c r="B76" t="s">
        <v>229</v>
      </c>
      <c r="C76" t="s">
        <v>26</v>
      </c>
    </row>
    <row r="77" spans="1:3" x14ac:dyDescent="0.45">
      <c r="A77" t="s">
        <v>24</v>
      </c>
      <c r="B77" t="s">
        <v>229</v>
      </c>
      <c r="C77" t="s">
        <v>227</v>
      </c>
    </row>
    <row r="79" spans="1:3" x14ac:dyDescent="0.45">
      <c r="A79" t="s">
        <v>24</v>
      </c>
      <c r="B79" t="s">
        <v>230</v>
      </c>
      <c r="C79" t="s">
        <v>223</v>
      </c>
    </row>
    <row r="80" spans="1:3" x14ac:dyDescent="0.45">
      <c r="A80" t="s">
        <v>24</v>
      </c>
      <c r="B80" t="s">
        <v>230</v>
      </c>
      <c r="C80" t="s">
        <v>224</v>
      </c>
    </row>
    <row r="81" spans="1:3" x14ac:dyDescent="0.45">
      <c r="A81" t="s">
        <v>24</v>
      </c>
      <c r="B81" t="s">
        <v>230</v>
      </c>
      <c r="C81" t="s">
        <v>225</v>
      </c>
    </row>
    <row r="82" spans="1:3" x14ac:dyDescent="0.45">
      <c r="A82" t="s">
        <v>24</v>
      </c>
      <c r="B82" t="s">
        <v>230</v>
      </c>
      <c r="C82" t="s">
        <v>226</v>
      </c>
    </row>
    <row r="83" spans="1:3" x14ac:dyDescent="0.45">
      <c r="A83" t="s">
        <v>24</v>
      </c>
      <c r="B83" t="s">
        <v>230</v>
      </c>
      <c r="C83" t="s">
        <v>26</v>
      </c>
    </row>
    <row r="84" spans="1:3" x14ac:dyDescent="0.45">
      <c r="A84" t="s">
        <v>24</v>
      </c>
      <c r="B84" t="s">
        <v>230</v>
      </c>
      <c r="C84" t="s">
        <v>227</v>
      </c>
    </row>
    <row r="86" spans="1:3" x14ac:dyDescent="0.45">
      <c r="A86" t="s">
        <v>24</v>
      </c>
      <c r="B86" t="s">
        <v>25</v>
      </c>
      <c r="C86" t="s">
        <v>223</v>
      </c>
    </row>
    <row r="87" spans="1:3" x14ac:dyDescent="0.45">
      <c r="A87" t="s">
        <v>24</v>
      </c>
      <c r="B87" t="s">
        <v>25</v>
      </c>
      <c r="C87" t="s">
        <v>224</v>
      </c>
    </row>
    <row r="88" spans="1:3" x14ac:dyDescent="0.45">
      <c r="A88" t="s">
        <v>24</v>
      </c>
      <c r="B88" t="s">
        <v>25</v>
      </c>
      <c r="C88" t="s">
        <v>225</v>
      </c>
    </row>
    <row r="89" spans="1:3" x14ac:dyDescent="0.45">
      <c r="A89" t="s">
        <v>24</v>
      </c>
      <c r="B89" t="s">
        <v>25</v>
      </c>
      <c r="C89" t="s">
        <v>226</v>
      </c>
    </row>
    <row r="90" spans="1:3" x14ac:dyDescent="0.45">
      <c r="A90" t="s">
        <v>24</v>
      </c>
      <c r="B90" t="s">
        <v>25</v>
      </c>
      <c r="C90" t="s">
        <v>26</v>
      </c>
    </row>
    <row r="91" spans="1:3" x14ac:dyDescent="0.45">
      <c r="A91" t="s">
        <v>24</v>
      </c>
      <c r="B91" t="s">
        <v>25</v>
      </c>
      <c r="C91" t="s">
        <v>227</v>
      </c>
    </row>
    <row r="93" spans="1:3" x14ac:dyDescent="0.45">
      <c r="A93" t="s">
        <v>24</v>
      </c>
      <c r="B93" t="s">
        <v>231</v>
      </c>
      <c r="C93" t="s">
        <v>223</v>
      </c>
    </row>
    <row r="94" spans="1:3" x14ac:dyDescent="0.45">
      <c r="A94" t="s">
        <v>24</v>
      </c>
      <c r="B94" t="s">
        <v>231</v>
      </c>
      <c r="C94" t="s">
        <v>224</v>
      </c>
    </row>
    <row r="95" spans="1:3" x14ac:dyDescent="0.45">
      <c r="A95" t="s">
        <v>24</v>
      </c>
      <c r="B95" t="s">
        <v>231</v>
      </c>
      <c r="C95" t="s">
        <v>225</v>
      </c>
    </row>
    <row r="96" spans="1:3" x14ac:dyDescent="0.45">
      <c r="A96" t="s">
        <v>24</v>
      </c>
      <c r="B96" t="s">
        <v>231</v>
      </c>
      <c r="C96" t="s">
        <v>226</v>
      </c>
    </row>
    <row r="97" spans="1:3" x14ac:dyDescent="0.45">
      <c r="A97" t="s">
        <v>24</v>
      </c>
      <c r="B97" t="s">
        <v>231</v>
      </c>
      <c r="C97" t="s">
        <v>26</v>
      </c>
    </row>
    <row r="98" spans="1:3" x14ac:dyDescent="0.45">
      <c r="A98" t="s">
        <v>24</v>
      </c>
      <c r="B98" t="s">
        <v>231</v>
      </c>
      <c r="C98" t="s">
        <v>227</v>
      </c>
    </row>
    <row r="100" spans="1:3" x14ac:dyDescent="0.45">
      <c r="A100" t="s">
        <v>232</v>
      </c>
      <c r="B100" t="s">
        <v>233</v>
      </c>
      <c r="C100" t="s">
        <v>233</v>
      </c>
    </row>
    <row r="101" spans="1:3" x14ac:dyDescent="0.45">
      <c r="A101" t="s">
        <v>232</v>
      </c>
      <c r="B101" t="s">
        <v>233</v>
      </c>
      <c r="C101" t="s">
        <v>234</v>
      </c>
    </row>
    <row r="102" spans="1:3" x14ac:dyDescent="0.45">
      <c r="A102" t="s">
        <v>232</v>
      </c>
      <c r="B102" t="s">
        <v>233</v>
      </c>
      <c r="C102" t="s">
        <v>235</v>
      </c>
    </row>
    <row r="103" spans="1:3" x14ac:dyDescent="0.45">
      <c r="A103" t="s">
        <v>232</v>
      </c>
      <c r="B103" t="s">
        <v>233</v>
      </c>
      <c r="C103" t="s">
        <v>236</v>
      </c>
    </row>
    <row r="104" spans="1:3" x14ac:dyDescent="0.45">
      <c r="A104" t="s">
        <v>232</v>
      </c>
      <c r="B104" t="s">
        <v>233</v>
      </c>
      <c r="C104" t="s">
        <v>237</v>
      </c>
    </row>
    <row r="105" spans="1:3" x14ac:dyDescent="0.45">
      <c r="A105" t="s">
        <v>232</v>
      </c>
      <c r="B105" t="s">
        <v>233</v>
      </c>
      <c r="C105" t="s">
        <v>238</v>
      </c>
    </row>
    <row r="107" spans="1:3" x14ac:dyDescent="0.45">
      <c r="A107" t="s">
        <v>232</v>
      </c>
      <c r="B107" t="s">
        <v>234</v>
      </c>
      <c r="C107" t="s">
        <v>233</v>
      </c>
    </row>
    <row r="108" spans="1:3" x14ac:dyDescent="0.45">
      <c r="A108" t="s">
        <v>232</v>
      </c>
      <c r="B108" t="s">
        <v>234</v>
      </c>
      <c r="C108" t="s">
        <v>234</v>
      </c>
    </row>
    <row r="109" spans="1:3" x14ac:dyDescent="0.45">
      <c r="A109" t="s">
        <v>232</v>
      </c>
      <c r="B109" t="s">
        <v>234</v>
      </c>
      <c r="C109" t="s">
        <v>235</v>
      </c>
    </row>
    <row r="110" spans="1:3" x14ac:dyDescent="0.45">
      <c r="A110" t="s">
        <v>232</v>
      </c>
      <c r="B110" t="s">
        <v>234</v>
      </c>
      <c r="C110" t="s">
        <v>236</v>
      </c>
    </row>
    <row r="111" spans="1:3" x14ac:dyDescent="0.45">
      <c r="A111" t="s">
        <v>232</v>
      </c>
      <c r="B111" t="s">
        <v>234</v>
      </c>
      <c r="C111" t="s">
        <v>237</v>
      </c>
    </row>
    <row r="112" spans="1:3" x14ac:dyDescent="0.45">
      <c r="A112" t="s">
        <v>232</v>
      </c>
      <c r="B112" t="s">
        <v>234</v>
      </c>
      <c r="C112" t="s">
        <v>238</v>
      </c>
    </row>
    <row r="114" spans="1:3" x14ac:dyDescent="0.45">
      <c r="A114" t="s">
        <v>232</v>
      </c>
      <c r="B114" t="s">
        <v>239</v>
      </c>
      <c r="C114" t="s">
        <v>233</v>
      </c>
    </row>
    <row r="115" spans="1:3" x14ac:dyDescent="0.45">
      <c r="A115" t="s">
        <v>232</v>
      </c>
      <c r="B115" t="s">
        <v>239</v>
      </c>
      <c r="C115" t="s">
        <v>234</v>
      </c>
    </row>
    <row r="116" spans="1:3" x14ac:dyDescent="0.45">
      <c r="A116" t="s">
        <v>232</v>
      </c>
      <c r="B116" t="s">
        <v>239</v>
      </c>
      <c r="C116" t="s">
        <v>235</v>
      </c>
    </row>
    <row r="117" spans="1:3" x14ac:dyDescent="0.45">
      <c r="A117" t="s">
        <v>232</v>
      </c>
      <c r="B117" t="s">
        <v>239</v>
      </c>
      <c r="C117" t="s">
        <v>236</v>
      </c>
    </row>
    <row r="118" spans="1:3" x14ac:dyDescent="0.45">
      <c r="A118" t="s">
        <v>232</v>
      </c>
      <c r="B118" t="s">
        <v>239</v>
      </c>
      <c r="C118" t="s">
        <v>237</v>
      </c>
    </row>
    <row r="119" spans="1:3" x14ac:dyDescent="0.45">
      <c r="A119" t="s">
        <v>232</v>
      </c>
      <c r="B119" t="s">
        <v>239</v>
      </c>
      <c r="C119" t="s">
        <v>238</v>
      </c>
    </row>
    <row r="121" spans="1:3" x14ac:dyDescent="0.45">
      <c r="A121" t="s">
        <v>232</v>
      </c>
      <c r="B121" t="s">
        <v>236</v>
      </c>
      <c r="C121" t="s">
        <v>233</v>
      </c>
    </row>
    <row r="122" spans="1:3" x14ac:dyDescent="0.45">
      <c r="A122" t="s">
        <v>232</v>
      </c>
      <c r="B122" t="s">
        <v>236</v>
      </c>
      <c r="C122" t="s">
        <v>234</v>
      </c>
    </row>
    <row r="123" spans="1:3" x14ac:dyDescent="0.45">
      <c r="A123" t="s">
        <v>232</v>
      </c>
      <c r="B123" t="s">
        <v>236</v>
      </c>
      <c r="C123" t="s">
        <v>235</v>
      </c>
    </row>
    <row r="124" spans="1:3" x14ac:dyDescent="0.45">
      <c r="A124" t="s">
        <v>232</v>
      </c>
      <c r="B124" t="s">
        <v>236</v>
      </c>
      <c r="C124" t="s">
        <v>236</v>
      </c>
    </row>
    <row r="125" spans="1:3" x14ac:dyDescent="0.45">
      <c r="A125" t="s">
        <v>232</v>
      </c>
      <c r="B125" t="s">
        <v>236</v>
      </c>
      <c r="C125" t="s">
        <v>237</v>
      </c>
    </row>
    <row r="126" spans="1:3" x14ac:dyDescent="0.45">
      <c r="A126" t="s">
        <v>232</v>
      </c>
      <c r="B126" t="s">
        <v>236</v>
      </c>
      <c r="C126" t="s">
        <v>238</v>
      </c>
    </row>
    <row r="128" spans="1:3" x14ac:dyDescent="0.45">
      <c r="A128" t="s">
        <v>232</v>
      </c>
      <c r="B128" t="s">
        <v>240</v>
      </c>
      <c r="C128" t="s">
        <v>233</v>
      </c>
    </row>
    <row r="129" spans="1:3" x14ac:dyDescent="0.45">
      <c r="A129" t="s">
        <v>232</v>
      </c>
      <c r="B129" t="s">
        <v>240</v>
      </c>
      <c r="C129" t="s">
        <v>234</v>
      </c>
    </row>
    <row r="130" spans="1:3" x14ac:dyDescent="0.45">
      <c r="A130" t="s">
        <v>232</v>
      </c>
      <c r="B130" t="s">
        <v>240</v>
      </c>
      <c r="C130" t="s">
        <v>235</v>
      </c>
    </row>
    <row r="131" spans="1:3" x14ac:dyDescent="0.45">
      <c r="A131" t="s">
        <v>232</v>
      </c>
      <c r="B131" t="s">
        <v>240</v>
      </c>
      <c r="C131" t="s">
        <v>236</v>
      </c>
    </row>
    <row r="132" spans="1:3" x14ac:dyDescent="0.45">
      <c r="A132" t="s">
        <v>232</v>
      </c>
      <c r="B132" t="s">
        <v>240</v>
      </c>
      <c r="C132" t="s">
        <v>237</v>
      </c>
    </row>
    <row r="133" spans="1:3" x14ac:dyDescent="0.45">
      <c r="A133" t="s">
        <v>232</v>
      </c>
      <c r="B133" t="s">
        <v>240</v>
      </c>
      <c r="C133" t="s">
        <v>238</v>
      </c>
    </row>
    <row r="135" spans="1:3" x14ac:dyDescent="0.45">
      <c r="A135" t="s">
        <v>232</v>
      </c>
      <c r="B135" t="s">
        <v>241</v>
      </c>
      <c r="C135" t="s">
        <v>233</v>
      </c>
    </row>
    <row r="136" spans="1:3" x14ac:dyDescent="0.45">
      <c r="A136" t="s">
        <v>232</v>
      </c>
      <c r="B136" t="s">
        <v>241</v>
      </c>
      <c r="C136" t="s">
        <v>234</v>
      </c>
    </row>
    <row r="137" spans="1:3" x14ac:dyDescent="0.45">
      <c r="A137" t="s">
        <v>232</v>
      </c>
      <c r="B137" t="s">
        <v>241</v>
      </c>
      <c r="C137" t="s">
        <v>235</v>
      </c>
    </row>
    <row r="138" spans="1:3" x14ac:dyDescent="0.45">
      <c r="A138" t="s">
        <v>232</v>
      </c>
      <c r="B138" t="s">
        <v>241</v>
      </c>
      <c r="C138" t="s">
        <v>236</v>
      </c>
    </row>
    <row r="139" spans="1:3" x14ac:dyDescent="0.45">
      <c r="A139" t="s">
        <v>232</v>
      </c>
      <c r="B139" t="s">
        <v>241</v>
      </c>
      <c r="C139" t="s">
        <v>237</v>
      </c>
    </row>
    <row r="140" spans="1:3" x14ac:dyDescent="0.45">
      <c r="A140" t="s">
        <v>232</v>
      </c>
      <c r="B140" t="s">
        <v>241</v>
      </c>
      <c r="C140" t="s">
        <v>238</v>
      </c>
    </row>
  </sheetData>
  <dataValidations count="3">
    <dataValidation type="list" allowBlank="1" showInputMessage="1" showErrorMessage="1" sqref="C2:C135" xr:uid="{00000000-0002-0000-0100-000000000000}">
      <formula1>INDIRECT("Strumenti_"&amp;SUBSTITUTE(SUBSTITUTE(SUBSTITUTE(SUBSTITUTE($A2," ","_"),"(",""),")",""),"-","_"))</formula1>
    </dataValidation>
    <dataValidation type="list" showInputMessage="1" showErrorMessage="1" sqref="B2:B140" xr:uid="{00000000-0002-0000-0100-000001000000}">
      <formula1>INDIRECT(SUBSTITUTE(SUBSTITUTE(SUBSTITUTE(SUBSTITUTE($A2," ","_"),"(",""),")",""),"-","_"))</formula1>
    </dataValidation>
    <dataValidation type="list" showInputMessage="1" showErrorMessage="1" sqref="A2:A140" xr:uid="{00000000-0002-0000-0100-000002000000}">
      <formula1>Categorie</formula1>
    </dataValidation>
  </dataValidations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5"/>
  <sheetViews>
    <sheetView workbookViewId="0"/>
  </sheetViews>
  <sheetFormatPr defaultRowHeight="14.25" x14ac:dyDescent="0.45"/>
  <cols>
    <col min="1" max="1" width="12" customWidth="1"/>
    <col min="2" max="5" width="20" customWidth="1"/>
    <col min="6" max="6" width="13" customWidth="1"/>
    <col min="7" max="9" width="20" customWidth="1"/>
  </cols>
  <sheetData>
    <row r="1" spans="1:9" x14ac:dyDescent="0.45">
      <c r="A1" s="4" t="s">
        <v>242</v>
      </c>
      <c r="B1" s="4" t="s">
        <v>24</v>
      </c>
      <c r="C1" s="4" t="s">
        <v>35</v>
      </c>
      <c r="D1" s="4" t="s">
        <v>67</v>
      </c>
      <c r="E1" s="4" t="s">
        <v>136</v>
      </c>
      <c r="F1" s="4" t="s">
        <v>140</v>
      </c>
      <c r="G1" s="4" t="s">
        <v>162</v>
      </c>
      <c r="H1" s="4" t="s">
        <v>171</v>
      </c>
      <c r="I1" s="4" t="s">
        <v>243</v>
      </c>
    </row>
    <row r="2" spans="1:9" x14ac:dyDescent="0.45">
      <c r="A2" t="s">
        <v>149</v>
      </c>
      <c r="B2">
        <v>0</v>
      </c>
      <c r="C2">
        <v>0</v>
      </c>
      <c r="D2">
        <v>0</v>
      </c>
      <c r="E2">
        <v>0</v>
      </c>
      <c r="F2" s="2">
        <v>109180</v>
      </c>
      <c r="G2">
        <v>0</v>
      </c>
      <c r="H2">
        <v>0</v>
      </c>
      <c r="I2" s="2">
        <v>109180</v>
      </c>
    </row>
    <row r="3" spans="1:9" x14ac:dyDescent="0.45">
      <c r="A3" t="s">
        <v>146</v>
      </c>
      <c r="B3">
        <v>0</v>
      </c>
      <c r="C3">
        <v>0</v>
      </c>
      <c r="D3">
        <v>0</v>
      </c>
      <c r="E3">
        <v>0</v>
      </c>
      <c r="F3" s="2">
        <v>234318</v>
      </c>
      <c r="G3">
        <v>0</v>
      </c>
      <c r="H3">
        <v>0</v>
      </c>
      <c r="I3" s="2">
        <v>234318</v>
      </c>
    </row>
    <row r="4" spans="1:9" x14ac:dyDescent="0.45">
      <c r="A4" t="s">
        <v>150</v>
      </c>
      <c r="B4">
        <v>0</v>
      </c>
      <c r="C4">
        <v>0</v>
      </c>
      <c r="D4">
        <v>0</v>
      </c>
      <c r="E4">
        <v>0</v>
      </c>
      <c r="F4" s="2">
        <v>269592</v>
      </c>
      <c r="G4">
        <v>0</v>
      </c>
      <c r="H4">
        <v>0</v>
      </c>
      <c r="I4" s="2">
        <v>269592</v>
      </c>
    </row>
    <row r="5" spans="1:9" x14ac:dyDescent="0.45">
      <c r="A5" t="s">
        <v>138</v>
      </c>
      <c r="B5">
        <v>0</v>
      </c>
      <c r="C5">
        <v>0</v>
      </c>
      <c r="D5">
        <v>0</v>
      </c>
      <c r="E5" s="2">
        <v>45000</v>
      </c>
      <c r="F5" s="2">
        <v>269592</v>
      </c>
      <c r="G5">
        <v>0</v>
      </c>
      <c r="H5">
        <v>0</v>
      </c>
      <c r="I5" s="2">
        <v>314592</v>
      </c>
    </row>
    <row r="6" spans="1:9" x14ac:dyDescent="0.45">
      <c r="A6" t="s">
        <v>142</v>
      </c>
      <c r="B6">
        <v>0</v>
      </c>
      <c r="C6">
        <v>0</v>
      </c>
      <c r="D6">
        <v>0</v>
      </c>
      <c r="E6" s="2">
        <v>45000</v>
      </c>
      <c r="F6" s="2">
        <v>296592</v>
      </c>
      <c r="G6">
        <v>0</v>
      </c>
      <c r="H6">
        <v>0</v>
      </c>
      <c r="I6" s="2">
        <v>341592</v>
      </c>
    </row>
    <row r="7" spans="1:9" x14ac:dyDescent="0.45">
      <c r="A7" t="s">
        <v>147</v>
      </c>
      <c r="B7">
        <v>0</v>
      </c>
      <c r="C7">
        <v>0</v>
      </c>
      <c r="D7">
        <v>0</v>
      </c>
      <c r="E7" s="2">
        <v>45000</v>
      </c>
      <c r="F7" s="2">
        <v>567000</v>
      </c>
      <c r="G7">
        <v>0</v>
      </c>
      <c r="H7">
        <v>0</v>
      </c>
      <c r="I7" s="2">
        <v>612000</v>
      </c>
    </row>
    <row r="8" spans="1:9" x14ac:dyDescent="0.45">
      <c r="A8" t="s">
        <v>57</v>
      </c>
      <c r="B8">
        <v>0</v>
      </c>
      <c r="C8" s="2">
        <v>14391.1</v>
      </c>
      <c r="D8">
        <v>0</v>
      </c>
      <c r="E8" s="2">
        <v>45000</v>
      </c>
      <c r="F8" s="2">
        <v>567000</v>
      </c>
      <c r="G8">
        <v>0</v>
      </c>
      <c r="H8">
        <v>0</v>
      </c>
      <c r="I8" s="2">
        <v>626391.1</v>
      </c>
    </row>
    <row r="9" spans="1:9" x14ac:dyDescent="0.45">
      <c r="A9" t="s">
        <v>97</v>
      </c>
      <c r="B9">
        <v>0</v>
      </c>
      <c r="C9" s="2">
        <v>17533.30213</v>
      </c>
      <c r="D9">
        <v>0</v>
      </c>
      <c r="E9" s="2">
        <v>45000</v>
      </c>
      <c r="F9" s="2">
        <v>567000</v>
      </c>
      <c r="G9">
        <v>0</v>
      </c>
      <c r="H9">
        <v>0</v>
      </c>
      <c r="I9" s="2">
        <v>629533.30212999997</v>
      </c>
    </row>
    <row r="10" spans="1:9" x14ac:dyDescent="0.45">
      <c r="A10" t="s">
        <v>160</v>
      </c>
      <c r="B10">
        <v>0</v>
      </c>
      <c r="C10" s="2">
        <v>17533.30213</v>
      </c>
      <c r="D10">
        <v>0</v>
      </c>
      <c r="E10" s="2">
        <v>45000</v>
      </c>
      <c r="F10" s="2">
        <v>801113</v>
      </c>
      <c r="G10">
        <v>0</v>
      </c>
      <c r="H10">
        <v>0</v>
      </c>
      <c r="I10" s="2">
        <v>863646.30212999997</v>
      </c>
    </row>
    <row r="11" spans="1:9" x14ac:dyDescent="0.45">
      <c r="A11" t="s">
        <v>164</v>
      </c>
      <c r="B11">
        <v>0</v>
      </c>
      <c r="C11" s="2">
        <v>17533.30213</v>
      </c>
      <c r="D11">
        <v>0</v>
      </c>
      <c r="E11" s="2">
        <v>45000</v>
      </c>
      <c r="F11" s="2">
        <v>801113</v>
      </c>
      <c r="G11" s="2">
        <v>1000</v>
      </c>
      <c r="H11">
        <v>0</v>
      </c>
      <c r="I11" s="2">
        <v>864646.30212999997</v>
      </c>
    </row>
    <row r="12" spans="1:9" x14ac:dyDescent="0.45">
      <c r="A12" t="s">
        <v>158</v>
      </c>
      <c r="B12">
        <v>0</v>
      </c>
      <c r="C12" s="2">
        <v>17533.30213</v>
      </c>
      <c r="D12">
        <v>0</v>
      </c>
      <c r="E12" s="2">
        <v>45000</v>
      </c>
      <c r="F12" s="2">
        <v>1091488</v>
      </c>
      <c r="G12" s="2">
        <v>1000</v>
      </c>
      <c r="H12">
        <v>0</v>
      </c>
      <c r="I12" s="2">
        <v>1155021.30213</v>
      </c>
    </row>
    <row r="13" spans="1:9" x14ac:dyDescent="0.45">
      <c r="A13" t="s">
        <v>154</v>
      </c>
      <c r="B13">
        <v>0</v>
      </c>
      <c r="C13" s="2">
        <v>17533.30213</v>
      </c>
      <c r="D13">
        <v>0</v>
      </c>
      <c r="E13" s="2">
        <v>45000</v>
      </c>
      <c r="F13" s="2">
        <v>1793827</v>
      </c>
      <c r="G13" s="2">
        <v>1000</v>
      </c>
      <c r="H13">
        <v>0</v>
      </c>
      <c r="I13" s="2">
        <v>1857360.30213</v>
      </c>
    </row>
    <row r="14" spans="1:9" x14ac:dyDescent="0.45">
      <c r="A14" t="s">
        <v>189</v>
      </c>
      <c r="B14">
        <v>0</v>
      </c>
      <c r="C14" s="2">
        <v>17793.293539999999</v>
      </c>
      <c r="D14">
        <v>0</v>
      </c>
      <c r="E14" s="2">
        <v>45000</v>
      </c>
      <c r="F14" s="2">
        <v>1793827</v>
      </c>
      <c r="G14" s="2">
        <v>1000</v>
      </c>
      <c r="H14">
        <v>0</v>
      </c>
      <c r="I14" s="2">
        <v>1857620.29354</v>
      </c>
    </row>
    <row r="15" spans="1:9" x14ac:dyDescent="0.45">
      <c r="A15" t="s">
        <v>119</v>
      </c>
      <c r="B15">
        <v>0</v>
      </c>
      <c r="C15" s="2">
        <v>23802.299564000001</v>
      </c>
      <c r="D15">
        <v>0</v>
      </c>
      <c r="E15" s="2">
        <v>45000</v>
      </c>
      <c r="F15" s="2">
        <v>1793827</v>
      </c>
      <c r="G15" s="2">
        <v>1000</v>
      </c>
      <c r="H15">
        <v>0</v>
      </c>
      <c r="I15" s="2">
        <v>1863629.299564</v>
      </c>
    </row>
    <row r="16" spans="1:9" x14ac:dyDescent="0.45">
      <c r="A16" t="s">
        <v>173</v>
      </c>
      <c r="B16">
        <v>0</v>
      </c>
      <c r="C16" s="2">
        <v>23802.299564000001</v>
      </c>
      <c r="D16">
        <v>0</v>
      </c>
      <c r="E16" s="2">
        <v>45000</v>
      </c>
      <c r="F16" s="2">
        <v>1793827</v>
      </c>
      <c r="G16" s="2">
        <v>1000</v>
      </c>
      <c r="H16" s="2">
        <v>163008</v>
      </c>
      <c r="I16" s="2">
        <v>2026637.299564</v>
      </c>
    </row>
    <row r="17" spans="1:9" x14ac:dyDescent="0.45">
      <c r="A17" t="s">
        <v>183</v>
      </c>
      <c r="B17">
        <v>0</v>
      </c>
      <c r="C17" s="2">
        <v>23802.299564000001</v>
      </c>
      <c r="D17">
        <v>0</v>
      </c>
      <c r="E17" s="2">
        <v>45000</v>
      </c>
      <c r="F17" s="2">
        <v>1793827</v>
      </c>
      <c r="G17" s="2">
        <v>1000</v>
      </c>
      <c r="H17" s="2">
        <v>163008</v>
      </c>
      <c r="I17" s="2">
        <v>2026637.299564</v>
      </c>
    </row>
    <row r="18" spans="1:9" x14ac:dyDescent="0.45">
      <c r="A18" t="s">
        <v>176</v>
      </c>
      <c r="B18">
        <v>0</v>
      </c>
      <c r="C18" s="2">
        <v>23802.299564000001</v>
      </c>
      <c r="D18">
        <v>0</v>
      </c>
      <c r="E18" s="2">
        <v>45000</v>
      </c>
      <c r="F18" s="2">
        <v>1793827</v>
      </c>
      <c r="G18" s="2">
        <v>1000</v>
      </c>
      <c r="H18" s="2">
        <v>391000</v>
      </c>
      <c r="I18" s="2">
        <v>2254629.2995640002</v>
      </c>
    </row>
    <row r="19" spans="1:9" x14ac:dyDescent="0.45">
      <c r="A19" t="s">
        <v>41</v>
      </c>
      <c r="B19">
        <v>0</v>
      </c>
      <c r="C19" s="2">
        <v>145150.07948399999</v>
      </c>
      <c r="D19" s="2">
        <v>30448.35</v>
      </c>
      <c r="E19" s="2">
        <v>45000</v>
      </c>
      <c r="F19" s="2">
        <v>1793827</v>
      </c>
      <c r="G19" s="2">
        <v>1000</v>
      </c>
      <c r="H19" s="2">
        <v>391000</v>
      </c>
      <c r="I19" s="2">
        <v>2406425.429484</v>
      </c>
    </row>
    <row r="20" spans="1:9" x14ac:dyDescent="0.45">
      <c r="A20" t="s">
        <v>90</v>
      </c>
      <c r="B20">
        <v>0</v>
      </c>
      <c r="C20" s="2">
        <v>178984.16948400001</v>
      </c>
      <c r="D20" s="2">
        <v>95516.860854600003</v>
      </c>
      <c r="E20" s="2">
        <v>45000</v>
      </c>
      <c r="F20" s="2">
        <v>1793827</v>
      </c>
      <c r="G20" s="2">
        <v>49791.46</v>
      </c>
      <c r="H20" s="2">
        <v>391000</v>
      </c>
      <c r="I20" s="2">
        <v>2554119.4903385998</v>
      </c>
    </row>
    <row r="21" spans="1:9" x14ac:dyDescent="0.45">
      <c r="A21" t="s">
        <v>143</v>
      </c>
      <c r="B21">
        <v>0</v>
      </c>
      <c r="C21" s="2">
        <v>178984.16948400001</v>
      </c>
      <c r="D21" s="2">
        <v>95516.860854600003</v>
      </c>
      <c r="E21" s="2">
        <v>45000</v>
      </c>
      <c r="F21" s="2">
        <v>1801827</v>
      </c>
      <c r="G21" s="2">
        <v>49791.46</v>
      </c>
      <c r="H21" s="2">
        <v>391000</v>
      </c>
      <c r="I21" s="2">
        <v>2562119.4903385998</v>
      </c>
    </row>
    <row r="22" spans="1:9" x14ac:dyDescent="0.45">
      <c r="A22" t="s">
        <v>105</v>
      </c>
      <c r="B22">
        <v>0</v>
      </c>
      <c r="C22" s="2">
        <v>190091.30241726001</v>
      </c>
      <c r="D22" s="2">
        <v>95516.860854600003</v>
      </c>
      <c r="E22" s="2">
        <v>45000</v>
      </c>
      <c r="F22" s="2">
        <v>1801827</v>
      </c>
      <c r="G22" s="2">
        <v>49791.46</v>
      </c>
      <c r="H22" s="2">
        <v>391000</v>
      </c>
      <c r="I22" s="2">
        <v>2573226.6232718602</v>
      </c>
    </row>
    <row r="23" spans="1:9" x14ac:dyDescent="0.45">
      <c r="A23" t="s">
        <v>184</v>
      </c>
      <c r="B23">
        <v>0</v>
      </c>
      <c r="C23" s="2">
        <v>223909.29111726</v>
      </c>
      <c r="D23" s="2">
        <v>95516.860854600003</v>
      </c>
      <c r="E23" s="2">
        <v>45000</v>
      </c>
      <c r="F23" s="2">
        <v>1801827</v>
      </c>
      <c r="G23" s="2">
        <v>49791.46</v>
      </c>
      <c r="H23" s="2">
        <v>391000</v>
      </c>
      <c r="I23" s="2">
        <v>2607044.6119718598</v>
      </c>
    </row>
    <row r="24" spans="1:9" x14ac:dyDescent="0.45">
      <c r="A24" t="s">
        <v>174</v>
      </c>
      <c r="B24">
        <v>0</v>
      </c>
      <c r="C24" s="2">
        <v>223909.29111726</v>
      </c>
      <c r="D24" s="2">
        <v>95516.860854600003</v>
      </c>
      <c r="E24" s="2">
        <v>45000</v>
      </c>
      <c r="F24" s="2">
        <v>1801827</v>
      </c>
      <c r="G24" s="2">
        <v>49791.46</v>
      </c>
      <c r="H24" s="2">
        <v>405490.72</v>
      </c>
      <c r="I24" s="2">
        <v>2621535.33197186</v>
      </c>
    </row>
    <row r="25" spans="1:9" x14ac:dyDescent="0.45">
      <c r="A25" t="s">
        <v>28</v>
      </c>
      <c r="B25" s="2">
        <v>997.02738099999999</v>
      </c>
      <c r="C25" s="2">
        <v>232910.65281900001</v>
      </c>
      <c r="D25" s="2">
        <v>95516.860854600003</v>
      </c>
      <c r="E25" s="2">
        <v>45000</v>
      </c>
      <c r="F25" s="2">
        <v>1801827</v>
      </c>
      <c r="G25" s="2">
        <v>50791.46</v>
      </c>
      <c r="H25" s="2">
        <v>405490.72</v>
      </c>
      <c r="I25" s="2">
        <v>2632533.7210546001</v>
      </c>
    </row>
    <row r="26" spans="1:9" x14ac:dyDescent="0.45">
      <c r="A26" t="s">
        <v>139</v>
      </c>
      <c r="B26" s="2">
        <v>997.02738099999999</v>
      </c>
      <c r="C26" s="2">
        <v>232910.65281900001</v>
      </c>
      <c r="D26" s="2">
        <v>95516.860854600003</v>
      </c>
      <c r="E26" s="2">
        <v>250000</v>
      </c>
      <c r="F26" s="2">
        <v>1801827</v>
      </c>
      <c r="G26" s="2">
        <v>50791.46</v>
      </c>
      <c r="H26" s="2">
        <v>405490.72</v>
      </c>
      <c r="I26" s="2">
        <v>2837533.7210546001</v>
      </c>
    </row>
    <row r="27" spans="1:9" x14ac:dyDescent="0.45">
      <c r="A27" t="s">
        <v>101</v>
      </c>
      <c r="B27" s="2">
        <v>997.02738099999999</v>
      </c>
      <c r="C27" s="2">
        <v>239234.15075234399</v>
      </c>
      <c r="D27" s="2">
        <v>95516.860854600003</v>
      </c>
      <c r="E27" s="2">
        <v>250000</v>
      </c>
      <c r="F27" s="2">
        <v>2020000</v>
      </c>
      <c r="G27" s="2">
        <v>50791.46</v>
      </c>
      <c r="H27" s="2">
        <v>405490.72</v>
      </c>
      <c r="I27" s="2">
        <v>3062030.2189879441</v>
      </c>
    </row>
    <row r="28" spans="1:9" x14ac:dyDescent="0.45">
      <c r="A28" t="s">
        <v>165</v>
      </c>
      <c r="B28" s="2">
        <v>997.02738099999999</v>
      </c>
      <c r="C28" s="2">
        <v>239234.15075234399</v>
      </c>
      <c r="D28" s="2">
        <v>95516.860854600003</v>
      </c>
      <c r="E28" s="2">
        <v>250000</v>
      </c>
      <c r="F28" s="2">
        <v>2020000</v>
      </c>
      <c r="G28" s="2">
        <v>66091.02</v>
      </c>
      <c r="H28" s="2">
        <v>405490.72</v>
      </c>
      <c r="I28" s="2">
        <v>3077329.7789879441</v>
      </c>
    </row>
    <row r="29" spans="1:9" x14ac:dyDescent="0.45">
      <c r="A29" t="s">
        <v>65</v>
      </c>
      <c r="B29" s="2">
        <v>997.02738099999999</v>
      </c>
      <c r="C29" s="2">
        <v>234144.9351220869</v>
      </c>
      <c r="D29" s="2">
        <v>96091.060989599995</v>
      </c>
      <c r="E29" s="2">
        <v>250000</v>
      </c>
      <c r="F29" s="2">
        <v>2020000</v>
      </c>
      <c r="G29" s="2">
        <v>66091.02</v>
      </c>
      <c r="H29" s="2">
        <v>405490.72</v>
      </c>
      <c r="I29" s="2">
        <v>3072814.7634926871</v>
      </c>
    </row>
    <row r="30" spans="1:9" x14ac:dyDescent="0.45">
      <c r="A30" t="s">
        <v>29</v>
      </c>
      <c r="B30" s="2">
        <v>1073.829225</v>
      </c>
      <c r="C30" s="2">
        <v>286508.28305973689</v>
      </c>
      <c r="D30" s="2">
        <v>101628.36177420001</v>
      </c>
      <c r="E30" s="2">
        <v>250000</v>
      </c>
      <c r="F30" s="2">
        <v>2020000</v>
      </c>
      <c r="G30" s="2">
        <v>66091.02</v>
      </c>
      <c r="H30" s="2">
        <v>405490.72</v>
      </c>
      <c r="I30" s="2">
        <v>3130792.214058937</v>
      </c>
    </row>
    <row r="31" spans="1:9" x14ac:dyDescent="0.45">
      <c r="A31" t="s">
        <v>30</v>
      </c>
      <c r="B31" s="2">
        <v>1119.1152340199999</v>
      </c>
      <c r="C31" s="2">
        <v>309328.56950038561</v>
      </c>
      <c r="D31" s="2">
        <v>101799.1568274</v>
      </c>
      <c r="E31" s="2">
        <v>250000</v>
      </c>
      <c r="F31" s="2">
        <v>2020000</v>
      </c>
      <c r="G31" s="2">
        <v>70248.14</v>
      </c>
      <c r="H31" s="2">
        <v>405490.72</v>
      </c>
      <c r="I31" s="2">
        <v>3157985.7015618058</v>
      </c>
    </row>
    <row r="32" spans="1:9" x14ac:dyDescent="0.45">
      <c r="A32" t="s">
        <v>32</v>
      </c>
      <c r="B32" s="2">
        <v>1106.0700079799999</v>
      </c>
      <c r="C32" s="2">
        <v>309404.40086598741</v>
      </c>
      <c r="D32" s="2">
        <v>103833.551962218</v>
      </c>
      <c r="E32" s="2">
        <v>250000</v>
      </c>
      <c r="F32" s="2">
        <v>2020000</v>
      </c>
      <c r="G32" s="2">
        <v>70248.14</v>
      </c>
      <c r="H32" s="2">
        <v>405490.72</v>
      </c>
      <c r="I32" s="2">
        <v>3160082.8828361849</v>
      </c>
    </row>
    <row r="33" spans="1:9" x14ac:dyDescent="0.45">
      <c r="A33" t="s">
        <v>33</v>
      </c>
      <c r="B33" s="2">
        <v>1056.14966226</v>
      </c>
      <c r="C33" s="2">
        <v>310324.82938340137</v>
      </c>
      <c r="D33" s="2">
        <v>103768.61886148799</v>
      </c>
      <c r="E33" s="2">
        <v>250000</v>
      </c>
      <c r="F33" s="2">
        <v>2020000</v>
      </c>
      <c r="G33" s="2">
        <v>70248.14</v>
      </c>
      <c r="H33" s="2">
        <v>405490.72</v>
      </c>
      <c r="I33" s="2">
        <v>3160888.45790715</v>
      </c>
    </row>
    <row r="34" spans="1:9" x14ac:dyDescent="0.45">
      <c r="A34" t="s">
        <v>190</v>
      </c>
      <c r="B34" s="2">
        <v>1056.14966226</v>
      </c>
      <c r="C34" s="2">
        <v>340540.79667340138</v>
      </c>
      <c r="D34" s="2">
        <v>103768.61886148799</v>
      </c>
      <c r="E34" s="2">
        <v>250000</v>
      </c>
      <c r="F34" s="2">
        <v>2020000</v>
      </c>
      <c r="G34" s="2">
        <v>70248.14</v>
      </c>
      <c r="H34" s="2">
        <v>405490.72</v>
      </c>
      <c r="I34" s="2">
        <v>3191104.4251971501</v>
      </c>
    </row>
    <row r="35" spans="1:9" x14ac:dyDescent="0.45">
      <c r="A35" t="s">
        <v>194</v>
      </c>
      <c r="B35" s="2">
        <v>1056.14966226</v>
      </c>
      <c r="C35" s="2">
        <v>360080.97766993713</v>
      </c>
      <c r="D35" s="2">
        <v>103768.61886148799</v>
      </c>
      <c r="E35" s="2">
        <v>250000</v>
      </c>
      <c r="F35" s="2">
        <v>2020000</v>
      </c>
      <c r="G35" s="2">
        <v>49355.839999999997</v>
      </c>
      <c r="H35" s="2">
        <v>405490.72</v>
      </c>
      <c r="I35" s="2">
        <v>3189752.3061936852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Sheet</vt:lpstr>
      <vt:lpstr>Dropdowns</vt:lpstr>
      <vt:lpstr>Debug_Timeline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Giuseppe Alessandro Barbagallo</cp:lastModifiedBy>
  <dcterms:created xsi:type="dcterms:W3CDTF">2025-10-20T10:38:20Z</dcterms:created>
  <dcterms:modified xsi:type="dcterms:W3CDTF">2025-11-09T18:10:00Z</dcterms:modified>
</cp:coreProperties>
</file>